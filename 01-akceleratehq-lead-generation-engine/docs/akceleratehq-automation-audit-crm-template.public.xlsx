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 Leads" sheetId="1" r:id="rId5"/>
    <sheet state="visible" name="Automation Opportunities" sheetId="2" r:id="rId6"/>
    <sheet state="visible" name="Scoring Criteria" sheetId="3" r:id="rId7"/>
    <sheet state="visible" name="Routing Rules" sheetId="4" r:id="rId8"/>
    <sheet state="visible" name="Discovery Slots" sheetId="5" r:id="rId9"/>
    <sheet state="visible" name="Dashboard" sheetId="6" r:id="rId10"/>
    <sheet state="visible" name="Lookups" sheetId="7" r:id="rId11"/>
    <sheet state="visible" name="Setup" sheetId="8" r:id="rId12"/>
    <sheet state="visible" name="README" sheetId="9" r:id="rId13"/>
  </sheets>
  <definedNames/>
  <calcPr/>
</workbook>
</file>

<file path=xl/sharedStrings.xml><?xml version="1.0" encoding="utf-8"?>
<sst xmlns="http://schemas.openxmlformats.org/spreadsheetml/2006/main" count="822" uniqueCount="375">
  <si>
    <t>Timestamp</t>
  </si>
  <si>
    <t>Email address</t>
  </si>
  <si>
    <t>Full name</t>
  </si>
  <si>
    <t>Work email</t>
  </si>
  <si>
    <t>Contact No</t>
  </si>
  <si>
    <t>Your Role in Business</t>
  </si>
  <si>
    <t>Company name</t>
  </si>
  <si>
    <t>Website(Optional)</t>
  </si>
  <si>
    <t>Industry</t>
  </si>
  <si>
    <t>Company size</t>
  </si>
  <si>
    <t>Monthly revenue</t>
  </si>
  <si>
    <t>Country</t>
  </si>
  <si>
    <t>Tools you currently use</t>
  </si>
  <si>
    <t>How does your operation run today? (Describe your team, processes, and handoffs..)</t>
  </si>
  <si>
    <t>Where is the biggest pain? (pick all that apply)</t>
  </si>
  <si>
    <t>Estimated hours lost per week to manual work</t>
  </si>
  <si>
    <t>Your team's AI experience</t>
  </si>
  <si>
    <t>Existing automations (Zapier, scripts, etc.)</t>
  </si>
  <si>
    <t>Data readiness</t>
  </si>
  <si>
    <t>Which workflows would you like AI to handle?
(Be specific — e.g., 'classify inbound emails, draft replies, sync to CRM')</t>
  </si>
  <si>
    <t>Desired outcomes</t>
  </si>
  <si>
    <t>Timeline</t>
  </si>
  <si>
    <t>Budget</t>
  </si>
  <si>
    <t>Decision authority</t>
  </si>
  <si>
    <t>Anything else we should know?  (Constraints, integrations, security needs...)</t>
  </si>
  <si>
    <t>How did you hear about us?  (Mention your referral in others)</t>
  </si>
  <si>
    <t>Upload any helpful files such as workflow screenshots, Excel sheets, SOPs, reports, CRM exports, invoice samples, lead sheets, process documents, or project requirements.</t>
  </si>
  <si>
    <t>I agree that AKcelerateHQ may contact me regarding my automation audit request.</t>
  </si>
  <si>
    <t>processed</t>
  </si>
  <si>
    <t>status</t>
  </si>
  <si>
    <t>audit_score</t>
  </si>
  <si>
    <t>lead_category</t>
  </si>
  <si>
    <t>priority_reason</t>
  </si>
  <si>
    <t>recommended_offer</t>
  </si>
  <si>
    <t>next_action</t>
  </si>
  <si>
    <t>assigned_owner</t>
  </si>
  <si>
    <t>call_status</t>
  </si>
  <si>
    <t>proposal_status</t>
  </si>
  <si>
    <t>n8n_sent</t>
  </si>
  <si>
    <t>n8n_response</t>
  </si>
  <si>
    <t>notes</t>
  </si>
  <si>
    <t>updated_at</t>
  </si>
  <si>
    <t>row_number</t>
  </si>
  <si>
    <t/>
  </si>
  <si>
    <t>opportunity_id</t>
  </si>
  <si>
    <t>company_name</t>
  </si>
  <si>
    <t>pain_area</t>
  </si>
  <si>
    <t>recommended_workflow</t>
  </si>
  <si>
    <t>manual_hours_weekly</t>
  </si>
  <si>
    <t>estimated_monthly_value_usd</t>
  </si>
  <si>
    <t>complexity</t>
  </si>
  <si>
    <t>suggested_price_range</t>
  </si>
  <si>
    <t>priority</t>
  </si>
  <si>
    <t>owner</t>
  </si>
  <si>
    <t>OPP-001</t>
  </si>
  <si>
    <t>Shah Distributors</t>
  </si>
  <si>
    <t>Lead qualification + CRM follow-up</t>
  </si>
  <si>
    <t>WhatsApp lead capture, AI score, CRM sync, owner dashboard</t>
  </si>
  <si>
    <t>Medium</t>
  </si>
  <si>
    <t>$2,000 – $6,000</t>
  </si>
  <si>
    <t>High</t>
  </si>
  <si>
    <t>Kalpesh</t>
  </si>
  <si>
    <t>Demo Needed</t>
  </si>
  <si>
    <t>Use this row as n8n-generated opportunity example.</t>
  </si>
  <si>
    <t>OPP-002</t>
  </si>
  <si>
    <t>BrightFuture Classes</t>
  </si>
  <si>
    <t>Admission lead conversion</t>
  </si>
  <si>
    <t>Inquiry qualification, WhatsApp follow-ups, demo class booking, admission dashboard</t>
  </si>
  <si>
    <t>$1,000 – $2,000</t>
  </si>
  <si>
    <t>Nurture</t>
  </si>
  <si>
    <t>OPP-003</t>
  </si>
  <si>
    <t>UrbanCare Clinic</t>
  </si>
  <si>
    <t>Document + approval workflow</t>
  </si>
  <si>
    <t>Patient request triage, approval routing, report summary, audit logs</t>
  </si>
  <si>
    <t>$6,000+</t>
  </si>
  <si>
    <t>Discovery Needed</t>
  </si>
  <si>
    <t>Security requirement.</t>
  </si>
  <si>
    <t>OPP-004</t>
  </si>
  <si>
    <t>CraftNest Store</t>
  </si>
  <si>
    <t>Customer support + reporting</t>
  </si>
  <si>
    <t>AI support drafts, customer segmentation, weekly Shopify report</t>
  </si>
  <si>
    <t>Low</t>
  </si>
  <si>
    <t>$300 – $1,000</t>
  </si>
  <si>
    <t>OPP-005</t>
  </si>
  <si>
    <t>SideProject AI</t>
  </si>
  <si>
    <t>Cold outreach CRM</t>
  </si>
  <si>
    <t>Simple lead list, cold email drafting, CRM update</t>
  </si>
  <si>
    <t>Less than $300</t>
  </si>
  <si>
    <t>Dimension</t>
  </si>
  <si>
    <t>How it is scored</t>
  </si>
  <si>
    <t>Max Points</t>
  </si>
  <si>
    <t>Sheet Column</t>
  </si>
  <si>
    <t>Why it matters</t>
  </si>
  <si>
    <t>Automation Fit</t>
  </si>
  <si>
    <t>Strong pain match: data entry, reporting, lead qualification, docs, approvals, search</t>
  </si>
  <si>
    <t>AH</t>
  </si>
  <si>
    <t>Shows whether automation can create visible ROI.</t>
  </si>
  <si>
    <t>Pain Severity</t>
  </si>
  <si>
    <t>Mapped from hours lost per week</t>
  </si>
  <si>
    <t>AI</t>
  </si>
  <si>
    <t>More hours lost means stronger business case.</t>
  </si>
  <si>
    <t>Urgency</t>
  </si>
  <si>
    <t>ASAP = highest, exploring = lowest</t>
  </si>
  <si>
    <t>AJ</t>
  </si>
  <si>
    <t>Urgency tells how fast to follow up.</t>
  </si>
  <si>
    <t>Higher budget = higher fit; not sure still gets medium score</t>
  </si>
  <si>
    <t>AK</t>
  </si>
  <si>
    <t>Helps route to starter vs scale offer.</t>
  </si>
  <si>
    <t>Authority</t>
  </si>
  <si>
    <t>Decision maker = highest</t>
  </si>
  <si>
    <t>AL</t>
  </si>
  <si>
    <t>Avoids wasting calls with non-buyers.</t>
  </si>
  <si>
    <t>Data Readiness</t>
  </si>
  <si>
    <t>CRM/database/warehouse/pipelines score higher than spreadsheets only</t>
  </si>
  <si>
    <t>AM</t>
  </si>
  <si>
    <t>Cleaner data usually means faster implementation.</t>
  </si>
  <si>
    <t>Revenue Fit</t>
  </si>
  <si>
    <t>Larger revenue bands score higher</t>
  </si>
  <si>
    <t>AN</t>
  </si>
  <si>
    <t>Indicates ability to pay and scale.</t>
  </si>
  <si>
    <t>Specific Workflow Detail</t>
  </si>
  <si>
    <t>Extra 10 points if workflow request is detailed</t>
  </si>
  <si>
    <t>T</t>
  </si>
  <si>
    <t>Detailed problem = easier proposal.</t>
  </si>
  <si>
    <t>Consent</t>
  </si>
  <si>
    <t>3 points if consent is Yes</t>
  </si>
  <si>
    <t>AB</t>
  </si>
  <si>
    <t>Confirms contact permission.</t>
  </si>
  <si>
    <t>Lead Score</t>
  </si>
  <si>
    <t>MIN(100, all score dimensions)</t>
  </si>
  <si>
    <t>AF</t>
  </si>
  <si>
    <t>Used for Hot/Warm/Cold classification.</t>
  </si>
  <si>
    <t>Condition</t>
  </si>
  <si>
    <t>Lead Label</t>
  </si>
  <si>
    <t>Recommended Action</t>
  </si>
  <si>
    <t>Owner</t>
  </si>
  <si>
    <t>SLA</t>
  </si>
  <si>
    <t>n8n Routing Note</t>
  </si>
  <si>
    <t>lead_score &gt;= 75 AND budget is $2,000+</t>
  </si>
  <si>
    <t>Hot</t>
  </si>
  <si>
    <t>Send WhatsApp, email summary, and book discovery call</t>
  </si>
  <si>
    <t>Founder</t>
  </si>
  <si>
    <t>24 hours</t>
  </si>
  <si>
    <t>Create high-priority task + send owner alert</t>
  </si>
  <si>
    <t>lead_score 50-74</t>
  </si>
  <si>
    <t>Warm</t>
  </si>
  <si>
    <t>Send personalized audit summary + 2 questions</t>
  </si>
  <si>
    <t>Founder/Assistant</t>
  </si>
  <si>
    <t>48 hours</t>
  </si>
  <si>
    <t>Create nurture sequence</t>
  </si>
  <si>
    <t>lead_score 30-49</t>
  </si>
  <si>
    <t>Cold</t>
  </si>
  <si>
    <t>Send useful audit result + case study</t>
  </si>
  <si>
    <t>Assistant</t>
  </si>
  <si>
    <t>3-5 days</t>
  </si>
  <si>
    <t>Add to nurture list</t>
  </si>
  <si>
    <t>timeline is Just exploring OR budget &lt; $300</t>
  </si>
  <si>
    <t>Send starter resource and follow-up later</t>
  </si>
  <si>
    <t>7-14 days</t>
  </si>
  <si>
    <t>No sales call unless they reply</t>
  </si>
  <si>
    <t>consent != Yes</t>
  </si>
  <si>
    <t>Do Not Contact</t>
  </si>
  <si>
    <t>Do not send outreach</t>
  </si>
  <si>
    <t>System</t>
  </si>
  <si>
    <t>Immediate</t>
  </si>
  <si>
    <t>Stop automation for that row</t>
  </si>
  <si>
    <t>slot_id</t>
  </si>
  <si>
    <t>date</t>
  </si>
  <si>
    <t>start_time</t>
  </si>
  <si>
    <t>end_time</t>
  </si>
  <si>
    <t>timezone</t>
  </si>
  <si>
    <t>available</t>
  </si>
  <si>
    <t>booked_by</t>
  </si>
  <si>
    <t>calendar_event_id</t>
  </si>
  <si>
    <t>google_meet_link</t>
  </si>
  <si>
    <t>SLOT-001</t>
  </si>
  <si>
    <t>2026-06-28</t>
  </si>
  <si>
    <t>11:00</t>
  </si>
  <si>
    <t>11:30</t>
  </si>
  <si>
    <t>Asia/Kolkata</t>
  </si>
  <si>
    <t>Yes</t>
  </si>
  <si>
    <t>SLOT-002</t>
  </si>
  <si>
    <t>16:00</t>
  </si>
  <si>
    <t>16:30</t>
  </si>
  <si>
    <t>SLOT-003</t>
  </si>
  <si>
    <t>2026-06-29</t>
  </si>
  <si>
    <t>SLOT-004</t>
  </si>
  <si>
    <t>SLOT-005</t>
  </si>
  <si>
    <t>2026-06-30</t>
  </si>
  <si>
    <t>SLOT-006</t>
  </si>
  <si>
    <t>SLOT-007</t>
  </si>
  <si>
    <t>2026-07-01</t>
  </si>
  <si>
    <t>SLOT-008</t>
  </si>
  <si>
    <t>SLOT-009</t>
  </si>
  <si>
    <t>2026-07-02</t>
  </si>
  <si>
    <t>SLOT-010</t>
  </si>
  <si>
    <t>SLOT-011</t>
  </si>
  <si>
    <t>2026-07-03</t>
  </si>
  <si>
    <t>SLOT-012</t>
  </si>
  <si>
    <t>SLOT-013</t>
  </si>
  <si>
    <t>2026-07-04</t>
  </si>
  <si>
    <t>SLOT-014</t>
  </si>
  <si>
    <t>AKcelerateHQ Automation Audit Dashboard</t>
  </si>
  <si>
    <t>Metric</t>
  </si>
  <si>
    <t>Value</t>
  </si>
  <si>
    <t>Status</t>
  </si>
  <si>
    <t>Count</t>
  </si>
  <si>
    <t>Lead Temperature</t>
  </si>
  <si>
    <t>Total Audit Leads</t>
  </si>
  <si>
    <t>New</t>
  </si>
  <si>
    <t>Hot Leads</t>
  </si>
  <si>
    <t>Scored</t>
  </si>
  <si>
    <t>Warm Leads</t>
  </si>
  <si>
    <t>Contacted</t>
  </si>
  <si>
    <t>Discovery Scheduled</t>
  </si>
  <si>
    <t>Low Fit</t>
  </si>
  <si>
    <t>Proposal Sent</t>
  </si>
  <si>
    <t>Won</t>
  </si>
  <si>
    <t>Lost</t>
  </si>
  <si>
    <t>Avg Lead Score</t>
  </si>
  <si>
    <t>Top Pain Areas</t>
  </si>
  <si>
    <t>What to pitch</t>
  </si>
  <si>
    <t>Budget Segment</t>
  </si>
  <si>
    <t>Manual data entry</t>
  </si>
  <si>
    <t>AI data capture + sheet/CRM sync</t>
  </si>
  <si>
    <t>ASAP (&lt; 21 days)</t>
  </si>
  <si>
    <t>Lead qualification overhead</t>
  </si>
  <si>
    <t>Lead scoring + WhatsApp follow-up</t>
  </si>
  <si>
    <t>1-3 months</t>
  </si>
  <si>
    <t>Slow customer support</t>
  </si>
  <si>
    <t>AI inbox/support triage</t>
  </si>
  <si>
    <t>Flexible</t>
  </si>
  <si>
    <t>Repetitive reporting</t>
  </si>
  <si>
    <t>Owner dashboard + scheduled report</t>
  </si>
  <si>
    <t>Just exploring</t>
  </si>
  <si>
    <t>Document processing</t>
  </si>
  <si>
    <t>Document extraction + approval flow</t>
  </si>
  <si>
    <t>Other</t>
  </si>
  <si>
    <t>Inventory / supply chain</t>
  </si>
  <si>
    <t>Inventory dashboard + alerts</t>
  </si>
  <si>
    <t>category</t>
  </si>
  <si>
    <t>value</t>
  </si>
  <si>
    <t>Discovery Done</t>
  </si>
  <si>
    <t>Proposal Pending</t>
  </si>
  <si>
    <t>On Hold</t>
  </si>
  <si>
    <t>Priority</t>
  </si>
  <si>
    <t>Follow-up Stage</t>
  </si>
  <si>
    <t>No follow-up yet</t>
  </si>
  <si>
    <t>Day 1 WhatsApp</t>
  </si>
  <si>
    <t>Day 3 Email</t>
  </si>
  <si>
    <t>Day 7 Case Study</t>
  </si>
  <si>
    <t>Day 14 Nurture</t>
  </si>
  <si>
    <t>Closed</t>
  </si>
  <si>
    <t>WhatsApp Status</t>
  </si>
  <si>
    <t>Not Sent</t>
  </si>
  <si>
    <t>Sent</t>
  </si>
  <si>
    <t>Replied</t>
  </si>
  <si>
    <t>Opted Out</t>
  </si>
  <si>
    <t>Failed</t>
  </si>
  <si>
    <t>Proposal Status</t>
  </si>
  <si>
    <t>Not Started</t>
  </si>
  <si>
    <t>Drafting</t>
  </si>
  <si>
    <t>Accepted</t>
  </si>
  <si>
    <t>Rejected</t>
  </si>
  <si>
    <t>Paused</t>
  </si>
  <si>
    <t>Company Size</t>
  </si>
  <si>
    <t>Solo/Founder</t>
  </si>
  <si>
    <t>2-10</t>
  </si>
  <si>
    <t>11-50</t>
  </si>
  <si>
    <t>51-250</t>
  </si>
  <si>
    <t>250+</t>
  </si>
  <si>
    <t>Monthly Revenue</t>
  </si>
  <si>
    <t>Pre-revenue</t>
  </si>
  <si>
    <t>Less than $1,000/month</t>
  </si>
  <si>
    <t>$1,000 – $5,000/month</t>
  </si>
  <si>
    <t>$5,000 – $25,000/month</t>
  </si>
  <si>
    <t>$25,000 – $100,000/month</t>
  </si>
  <si>
    <t>$100,000+/month</t>
  </si>
  <si>
    <t>Prefer not to say</t>
  </si>
  <si>
    <t>Other:</t>
  </si>
  <si>
    <t>Hours Lost</t>
  </si>
  <si>
    <t>Less than 5 hours/week</t>
  </si>
  <si>
    <t>5–15 hours/week</t>
  </si>
  <si>
    <t>15–40 hours/week</t>
  </si>
  <si>
    <t>40–100 hours/week</t>
  </si>
  <si>
    <t>100+ hours/week</t>
  </si>
  <si>
    <t>Not sure</t>
  </si>
  <si>
    <t>AI Experience</t>
  </si>
  <si>
    <t>None</t>
  </si>
  <si>
    <t>Used ChatGPT/Copilot</t>
  </si>
  <si>
    <t>Built simple automations</t>
  </si>
  <si>
    <t>Production AI systems</t>
  </si>
  <si>
    <t>Spreadsheets only</t>
  </si>
  <si>
    <t>Some databases / CRM</t>
  </si>
  <si>
    <t>Centralized data warehouse</t>
  </si>
  <si>
    <t>Real-time pipelines</t>
  </si>
  <si>
    <t>We are Flexible at timeline</t>
  </si>
  <si>
    <t>Not sure yet</t>
  </si>
  <si>
    <t>Prefer to discuss</t>
  </si>
  <si>
    <t>Decision Authority</t>
  </si>
  <si>
    <t>Yes, I decide</t>
  </si>
  <si>
    <t>I'm on the buying committee</t>
  </si>
  <si>
    <t>I influence decisions</t>
  </si>
  <si>
    <t>I'm researching</t>
  </si>
  <si>
    <t>Pain</t>
  </si>
  <si>
    <t>Approval workflows</t>
  </si>
  <si>
    <t>Onboarding friction</t>
  </si>
  <si>
    <t>Forecasting / planning</t>
  </si>
  <si>
    <t>Quality / compliance checks</t>
  </si>
  <si>
    <t>Marketing personalization</t>
  </si>
  <si>
    <t>Knowledge search</t>
  </si>
  <si>
    <t>Desired Outcomes</t>
  </si>
  <si>
    <t>Save staff hours</t>
  </si>
  <si>
    <t>Reduce errors</t>
  </si>
  <si>
    <t>Faster response times</t>
  </si>
  <si>
    <t>Higher conversion</t>
  </si>
  <si>
    <t>Better forecasting</t>
  </si>
  <si>
    <t>New revenue stream</t>
  </si>
  <si>
    <t>Cost reduction</t>
  </si>
  <si>
    <t>Compliance / auditability</t>
  </si>
  <si>
    <t>Tools</t>
  </si>
  <si>
    <t>Notion</t>
  </si>
  <si>
    <t>Airtable</t>
  </si>
  <si>
    <t>Google Workspace(email, meet)</t>
  </si>
  <si>
    <t>Microsoft 365( Excel, word, powerpoint)</t>
  </si>
  <si>
    <t>Slack</t>
  </si>
  <si>
    <t>Salesforce</t>
  </si>
  <si>
    <t>Zapier</t>
  </si>
  <si>
    <t>Make</t>
  </si>
  <si>
    <t>n8n</t>
  </si>
  <si>
    <t>Stripe</t>
  </si>
  <si>
    <t>Shopify</t>
  </si>
  <si>
    <t>Custom internal tools</t>
  </si>
  <si>
    <t>Heard About Us</t>
  </si>
  <si>
    <t>Google search</t>
  </si>
  <si>
    <t>LinkedIn</t>
  </si>
  <si>
    <t>Instagram</t>
  </si>
  <si>
    <t>X</t>
  </si>
  <si>
    <t>Newsletter</t>
  </si>
  <si>
    <t>Event / Conference</t>
  </si>
  <si>
    <t>Recommended Offer</t>
  </si>
  <si>
    <t>Free Audit / Nurture</t>
  </si>
  <si>
    <t>Starter Automation MVP</t>
  </si>
  <si>
    <t>Priority Discovery Call + ROI Audit</t>
  </si>
  <si>
    <t>Scale Automation System</t>
  </si>
  <si>
    <t>Maintenance + Optimization</t>
  </si>
  <si>
    <t>AKcelerateHQ Audit Form Setup</t>
  </si>
  <si>
    <t>Form Edit URL</t>
  </si>
  <si>
    <t>https://docs.google.com/forms/d/YOUR_GOOGLE_FORM_ID/edit</t>
  </si>
  <si>
    <t>Form Public URL</t>
  </si>
  <si>
    <t>https://docs.google.com/forms/d/e/YOUR_GOOGLE_FORM_ID/viewform</t>
  </si>
  <si>
    <t>Spreadsheet ID</t>
  </si>
  <si>
    <t>YOUR_GOOGLE_SHEET_ID</t>
  </si>
  <si>
    <t>n8n Webhook URL</t>
  </si>
  <si>
    <t>Add webhook in CONFIG.N8N_WEBHOOK_URL</t>
  </si>
  <si>
    <t>Brand Theme</t>
  </si>
  <si>
    <t>Navy #102040 | Deep Blue #0458D6 | Azure #0880D8 | Cyan #35BAE0</t>
  </si>
  <si>
    <t>AKcelerateHQ Automation Audit CRM - README</t>
  </si>
  <si>
    <t>Use this workbook as the Google Sheet backend for the AKcelerateHQ Audit Form.</t>
  </si>
  <si>
    <t>Recommended flow</t>
  </si>
  <si>
    <t>Google Form → linked response sheet → Apps Script column mapper → Audit Leads tab → n8n webhook → AI scoring / WhatsApp / email / CRM updates</t>
  </si>
  <si>
    <t>Main n8n tab</t>
  </si>
  <si>
    <t>Audit Leads</t>
  </si>
  <si>
    <t>Important columns</t>
  </si>
  <si>
    <t>processed, status, priority, lead_score, lead_temperature, recommended_offer, recommended_workflow, recommended_action, whatsapp_status, proposal_status</t>
  </si>
  <si>
    <t>How to use</t>
  </si>
  <si>
    <t>1. Upload this .xlsx to Google Drive and open with Google Sheets.</t>
  </si>
  <si>
    <t>2. Create / connect your Google Form responses.</t>
  </si>
  <si>
    <t>3. Map form responses into the Audit Leads tab using Apps Script or n8n.</t>
  </si>
  <si>
    <t>4. Point n8n to rows where processed = FALSE and status = New.</t>
  </si>
  <si>
    <t>5. Let n8n write AI summary, pain summary, suggested solution, discovery questions, and outreach status back into the same row.</t>
  </si>
  <si>
    <t>Phone number note</t>
  </si>
  <si>
    <t>contact_no is formatted as plain text to avoid +91 formula errors.</t>
  </si>
  <si>
    <t>Brand</t>
  </si>
  <si>
    <t>Styled with AKcelerateHQ colors: Navy #102040, Blue #0458D6, Cyan #35BAE0, Soft White #F1F0EE.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</si>
</sst>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"/>
  </numFmts>
  <fonts count="11">
    <font>
      <sz val="11.0"/>
      <color rgb="FF000000"/>
      <name val="Carlito"/>
      <scheme val="minor"/>
    </font>
    <font>
      <b/>
      <sz val="11.0"/>
      <color rgb="FFFFFFFF"/>
      <name val="Montserrat"/>
    </font>
    <font>
      <sz val="10.0"/>
      <color theme="1"/>
      <name val="Roboto"/>
    </font>
    <font>
      <b/>
      <sz val="11.0"/>
      <color rgb="FFFFFFFF"/>
      <name val="Carlito"/>
    </font>
    <font>
      <sz val="11.0"/>
      <color theme="1"/>
      <name val="Carlito"/>
    </font>
    <font>
      <b/>
      <sz val="16.0"/>
      <color rgb="FF35608E"/>
      <name val="Montserrat"/>
    </font>
    <font>
      <b/>
      <sz val="10.0"/>
      <color rgb="FFFFFFFF"/>
      <name val="Roboto"/>
    </font>
    <font>
      <b/>
      <color rgb="FFFFFFFF"/>
      <name val="Carlito"/>
      <scheme val="minor"/>
    </font>
    <font>
      <color theme="1"/>
      <name val="Carlito"/>
      <scheme val="minor"/>
    </font>
    <font>
      <u/>
      <color rgb="FF0000FF"/>
    </font>
    <font>
      <b/>
      <sz val="14.0"/>
      <color rgb="FFFFFFFF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0F2040"/>
        <bgColor rgb="FF0F2040"/>
      </patternFill>
    </fill>
    <fill>
      <patternFill patternType="solid">
        <fgColor rgb="FF35608E"/>
        <bgColor rgb="FF35608E"/>
      </patternFill>
    </fill>
    <fill>
      <patternFill patternType="solid">
        <fgColor rgb="FF102040"/>
        <bgColor rgb="FF10204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2" fontId="1" numFmtId="0" xfId="0" applyAlignment="1" applyFont="1">
      <alignment horizontal="left" readingOrder="0" shrinkToFit="0" vertical="top" wrapText="1"/>
    </xf>
    <xf borderId="0" fillId="2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3" fontId="1" numFmtId="0" xfId="0" applyAlignment="1" applyFill="1" applyFont="1">
      <alignment horizontal="center" shrinkToFit="0" vertical="center" wrapText="1"/>
    </xf>
    <xf borderId="0" fillId="3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4" fontId="3" numFmtId="0" xfId="0" applyAlignment="1" applyFill="1" applyFont="1">
      <alignment horizontal="center"/>
    </xf>
    <xf borderId="0" fillId="0" fontId="4" numFmtId="0" xfId="0" applyAlignment="1" applyFont="1">
      <alignment shrinkToFit="0" wrapText="1"/>
    </xf>
    <xf borderId="0" fillId="4" fontId="3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shrinkToFit="0" wrapText="1"/>
    </xf>
    <xf borderId="0" fillId="4" fontId="5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5" fontId="1" numFmtId="0" xfId="0" applyAlignment="1" applyFill="1" applyFont="1">
      <alignment horizontal="center" shrinkToFit="0" vertical="center" wrapText="1"/>
    </xf>
    <xf borderId="0" fillId="5" fontId="6" numFmtId="0" xfId="0" applyAlignment="1" applyFont="1">
      <alignment horizontal="center" shrinkToFit="0" vertical="top" wrapText="1"/>
    </xf>
    <xf borderId="0" fillId="5" fontId="2" numFmtId="0" xfId="0" applyAlignment="1" applyFont="1">
      <alignment shrinkToFit="0" vertical="top" wrapText="1"/>
    </xf>
    <xf borderId="0" fillId="4" fontId="3" numFmtId="0" xfId="0" applyAlignment="1" applyFont="1">
      <alignment horizontal="center" shrinkToFit="0" wrapText="1"/>
    </xf>
    <xf borderId="0" fillId="4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8" numFmtId="0" xfId="0" applyFont="1"/>
    <xf borderId="0" fillId="0" fontId="8" numFmtId="165" xfId="0" applyFont="1" applyNumberFormat="1"/>
    <xf borderId="0" fillId="4" fontId="10" numFmtId="0" xfId="0" applyAlignment="1" applyFont="1">
      <alignment horizontal="center"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4" pivot="0" name="Audit Lea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Automation Opportunities-style">
      <tableStyleElement dxfId="5" type="headerRow"/>
      <tableStyleElement dxfId="6" type="firstRowStripe"/>
      <tableStyleElement dxfId="7" type="secondRowStripe"/>
    </tableStyle>
    <tableStyle count="3" pivot="0" name="Discovery Slots-style">
      <tableStyleElement dxfId="5" type="headerRow"/>
      <tableStyleElement dxfId="6" type="firstRowStripe"/>
      <tableStyleElement dxfId="7" type="secondRowStripe"/>
    </tableStyle>
    <tableStyle count="3" pivot="0" name="Lookups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B1" displayName="Audit_Leads" name="Audit_Leads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Audit Lea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L201" displayName="Table_1" name="Table_1" id="2">
  <tableColumns count="12">
    <tableColumn name="opportunity_id" id="1"/>
    <tableColumn name="company_name" id="2"/>
    <tableColumn name="pain_area" id="3"/>
    <tableColumn name="recommended_workflow" id="4"/>
    <tableColumn name="manual_hours_weekly" id="5"/>
    <tableColumn name="estimated_monthly_value_usd" id="6"/>
    <tableColumn name="complexity" id="7"/>
    <tableColumn name="suggested_price_range" id="8"/>
    <tableColumn name="priority" id="9"/>
    <tableColumn name="owner" id="10"/>
    <tableColumn name="status" id="11"/>
    <tableColumn name="notes" id="12"/>
  </tableColumns>
  <tableStyleInfo name="Automation Opportunities-style" showColumnStripes="0" showFirstColumn="1" showLastColumn="1" showRowStripes="1"/>
</table>
</file>

<file path=xl/tables/table3.xml><?xml version="1.0" encoding="utf-8"?>
<table xmlns="http://schemas.openxmlformats.org/spreadsheetml/2006/main" ref="A1:J100" displayName="Table_2" name="Table_2" id="3">
  <tableColumns count="10">
    <tableColumn name="slot_id" id="1"/>
    <tableColumn name="date" id="2"/>
    <tableColumn name="start_time" id="3"/>
    <tableColumn name="end_time" id="4"/>
    <tableColumn name="timezone" id="5"/>
    <tableColumn name="available" id="6"/>
    <tableColumn name="booked_by" id="7"/>
    <tableColumn name="calendar_event_id" id="8"/>
    <tableColumn name="google_meet_link" id="9"/>
    <tableColumn name="notes" id="10"/>
  </tableColumns>
  <tableStyleInfo name="Discovery Slots-style" showColumnStripes="0" showFirstColumn="1" showLastColumn="1" showRowStripes="1"/>
</table>
</file>

<file path=xl/tables/table4.xml><?xml version="1.0" encoding="utf-8"?>
<table xmlns="http://schemas.openxmlformats.org/spreadsheetml/2006/main" ref="A1:B131" displayName="Table_3" name="Table_3" id="4">
  <tableColumns count="2">
    <tableColumn name="category" id="1"/>
    <tableColumn name="value" id="2"/>
  </tableColumns>
  <tableStyleInfo name="Looku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YOUR_GOOGLE_FORM_ID/edit" TargetMode="External"/><Relationship Id="rId2" Type="http://schemas.openxmlformats.org/officeDocument/2006/relationships/hyperlink" Target="https://docs.google.com/forms/d/e/YOUR_GOOGLE_FORM_ID/viewform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3.5"/>
    <col customWidth="1" min="3" max="3" width="10.0"/>
    <col customWidth="1" min="4" max="4" width="11.25"/>
    <col customWidth="1" min="5" max="5" width="11.13"/>
    <col customWidth="1" min="6" max="6" width="19.63"/>
    <col customWidth="1" min="7" max="7" width="14.75"/>
    <col customWidth="1" min="8" max="8" width="16.63"/>
    <col customWidth="1" min="9" max="9" width="8.75"/>
    <col customWidth="1" min="10" max="10" width="13.5"/>
    <col customWidth="1" min="11" max="11" width="15.63"/>
    <col customWidth="1" min="12" max="12" width="8.5"/>
    <col customWidth="1" min="13" max="13" width="20.75"/>
    <col customWidth="1" min="14" max="14" width="70.0"/>
    <col customWidth="1" min="15" max="16" width="39.25"/>
    <col customWidth="1" min="17" max="17" width="22.88"/>
    <col customWidth="1" min="18" max="18" width="36.13"/>
    <col customWidth="1" min="19" max="19" width="14.13"/>
    <col customWidth="1" min="20" max="20" width="59.5"/>
    <col customWidth="1" min="21" max="21" width="16.75"/>
    <col customWidth="1" min="22" max="22" width="9.25"/>
    <col customWidth="1" min="23" max="23" width="7.88"/>
    <col customWidth="1" min="24" max="24" width="16.75"/>
    <col customWidth="1" min="25" max="25" width="63.5"/>
    <col customWidth="1" min="26" max="26" width="51.0"/>
    <col customWidth="1" min="27" max="27" width="141.0"/>
    <col customWidth="1" min="28" max="28" width="68.5"/>
    <col customWidth="1" min="29" max="29" width="9.25"/>
    <col customWidth="1" min="30" max="30" width="6.0"/>
    <col customWidth="1" min="31" max="31" width="10.25"/>
    <col customWidth="1" min="32" max="32" width="12.25"/>
    <col customWidth="1" min="33" max="33" width="13.0"/>
    <col customWidth="1" min="34" max="34" width="17.25"/>
    <col customWidth="1" min="35" max="35" width="10.25"/>
    <col customWidth="1" min="36" max="36" width="14.0"/>
    <col customWidth="1" min="37" max="37" width="9.63"/>
    <col customWidth="1" min="38" max="38" width="13.75"/>
    <col customWidth="1" min="39" max="39" width="8.25"/>
    <col customWidth="1" min="40" max="40" width="12.13"/>
    <col customWidth="1" min="41" max="41" width="5.5"/>
    <col customWidth="1" min="42" max="42" width="9.88"/>
    <col customWidth="1" min="43" max="43" width="10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tr">
        <f t="array" ref="AC2:AC101">IF(B2:B101="", "", XLOOKUP(B2:B101, 'Audit Leads'!C2:C101, 'Audit Leads'!AD2:AQ101, ""))</f>
        <v/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 t="str">
        <f t="array" ref="AQ2:AQ101">IF(A2:A101&lt;&gt;"", ROW(A2:A101)-1, "")</f>
        <v/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 t="s">
        <v>43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 t="s">
        <v>43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43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 t="s">
        <v>43</v>
      </c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 t="s">
        <v>43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 t="s">
        <v>43</v>
      </c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43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 t="s">
        <v>43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43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 t="s">
        <v>43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 t="s">
        <v>43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 t="s">
        <v>43</v>
      </c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 t="s">
        <v>43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 t="s">
        <v>43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 t="s">
        <v>43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 t="s">
        <v>43</v>
      </c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 t="s">
        <v>43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 t="s">
        <v>43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 t="s">
        <v>43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 t="s">
        <v>43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 t="s">
        <v>43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 t="s">
        <v>43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 t="s">
        <v>43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 t="s">
        <v>43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 t="s">
        <v>43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 t="s">
        <v>43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 t="s">
        <v>43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 t="s">
        <v>43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 t="s">
        <v>43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43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 t="s">
        <v>43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43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 t="s">
        <v>43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 t="s">
        <v>43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 t="s">
        <v>43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 t="s">
        <v>43</v>
      </c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 t="s">
        <v>43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 t="s">
        <v>43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 t="s">
        <v>43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 t="s">
        <v>43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 t="s">
        <v>43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 t="s">
        <v>43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 t="s">
        <v>43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 t="s">
        <v>43</v>
      </c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 t="s">
        <v>43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 t="s">
        <v>43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 t="s">
        <v>43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 t="s">
        <v>43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 t="s">
        <v>43</v>
      </c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 t="s">
        <v>43</v>
      </c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 t="s">
        <v>43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 t="s">
        <v>43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 t="s">
        <v>43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 t="s">
        <v>43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 t="s">
        <v>43</v>
      </c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 t="s">
        <v>43</v>
      </c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 t="s">
        <v>43</v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 t="s">
        <v>43</v>
      </c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 t="s">
        <v>43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43</v>
      </c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 t="s">
        <v>43</v>
      </c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 t="s">
        <v>43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 t="s">
        <v>43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 t="s">
        <v>43</v>
      </c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 t="s">
        <v>43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 t="s">
        <v>43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 t="s">
        <v>43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 t="s">
        <v>43</v>
      </c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 t="s">
        <v>43</v>
      </c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 t="s">
        <v>43</v>
      </c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 t="s">
        <v>43</v>
      </c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 t="s">
        <v>43</v>
      </c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 t="s">
        <v>43</v>
      </c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 t="s">
        <v>43</v>
      </c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 t="s">
        <v>43</v>
      </c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 t="s">
        <v>43</v>
      </c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 t="s">
        <v>43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 t="s">
        <v>43</v>
      </c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 t="s">
        <v>43</v>
      </c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 t="s">
        <v>43</v>
      </c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 t="s">
        <v>43</v>
      </c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 t="s">
        <v>43</v>
      </c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 t="s">
        <v>43</v>
      </c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 t="s">
        <v>43</v>
      </c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 t="s">
        <v>43</v>
      </c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 t="s">
        <v>43</v>
      </c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 t="s">
        <v>43</v>
      </c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 t="s">
        <v>43</v>
      </c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 t="s">
        <v>43</v>
      </c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 t="s">
        <v>43</v>
      </c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 t="s">
        <v>43</v>
      </c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 t="s">
        <v>43</v>
      </c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 t="s">
        <v>43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 t="s">
        <v>43</v>
      </c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 t="s">
        <v>43</v>
      </c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 t="s">
        <v>43</v>
      </c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 t="s">
        <v>43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 t="s">
        <v>43</v>
      </c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 t="s">
        <v>43</v>
      </c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 t="s">
        <v>43</v>
      </c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 t="s">
        <v>43</v>
      </c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 t="s">
        <v>43</v>
      </c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 t="s">
        <v>43</v>
      </c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 t="s">
        <v>43</v>
      </c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 t="s">
        <v>43</v>
      </c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 t="s">
        <v>43</v>
      </c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 t="s">
        <v>43</v>
      </c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 t="s">
        <v>43</v>
      </c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 t="s">
        <v>43</v>
      </c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 t="s">
        <v>43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 t="s">
        <v>43</v>
      </c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 t="s">
        <v>43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 t="s">
        <v>43</v>
      </c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 t="s">
        <v>43</v>
      </c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 t="s">
        <v>43</v>
      </c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 t="s">
        <v>43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 t="s">
        <v>43</v>
      </c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 t="s">
        <v>43</v>
      </c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 t="s">
        <v>43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 t="s">
        <v>43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 t="s">
        <v>43</v>
      </c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 t="s">
        <v>43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 t="s">
        <v>43</v>
      </c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 t="s">
        <v>43</v>
      </c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 t="s">
        <v>43</v>
      </c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 t="s">
        <v>43</v>
      </c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 t="s">
        <v>43</v>
      </c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 t="s">
        <v>43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 t="s">
        <v>43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 t="s">
        <v>43</v>
      </c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 t="s">
        <v>43</v>
      </c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 t="s">
        <v>43</v>
      </c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 t="s">
        <v>43</v>
      </c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 t="s">
        <v>43</v>
      </c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 t="s">
        <v>43</v>
      </c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 t="s">
        <v>43</v>
      </c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 t="s">
        <v>43</v>
      </c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 t="s">
        <v>43</v>
      </c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 t="s">
        <v>43</v>
      </c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 t="s">
        <v>43</v>
      </c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 t="s">
        <v>43</v>
      </c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 t="s">
        <v>43</v>
      </c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 t="s">
        <v>43</v>
      </c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 t="s">
        <v>43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 t="s">
        <v>43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 t="s">
        <v>43</v>
      </c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 t="s">
        <v>43</v>
      </c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 t="s">
        <v>43</v>
      </c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 t="s">
        <v>43</v>
      </c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 t="s">
        <v>43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 t="s">
        <v>43</v>
      </c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 t="s">
        <v>43</v>
      </c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 t="s">
        <v>43</v>
      </c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 t="s">
        <v>43</v>
      </c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 t="s">
        <v>43</v>
      </c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 t="s">
        <v>43</v>
      </c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 t="s">
        <v>43</v>
      </c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 t="s">
        <v>43</v>
      </c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 t="s">
        <v>43</v>
      </c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 t="s">
        <v>43</v>
      </c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 t="s">
        <v>43</v>
      </c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 t="s">
        <v>43</v>
      </c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 t="s">
        <v>43</v>
      </c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 t="s">
        <v>43</v>
      </c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 t="s">
        <v>43</v>
      </c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 t="s">
        <v>43</v>
      </c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 t="s">
        <v>43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 t="s">
        <v>43</v>
      </c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 t="s">
        <v>43</v>
      </c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 t="s">
        <v>43</v>
      </c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 t="s">
        <v>43</v>
      </c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 t="s">
        <v>43</v>
      </c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 t="s">
        <v>43</v>
      </c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 t="s">
        <v>43</v>
      </c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 t="s">
        <v>43</v>
      </c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 t="s">
        <v>43</v>
      </c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 t="s">
        <v>43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 t="s">
        <v>43</v>
      </c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 t="s">
        <v>43</v>
      </c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 t="s">
        <v>43</v>
      </c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 t="s">
        <v>43</v>
      </c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 t="s">
        <v>43</v>
      </c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 t="s">
        <v>43</v>
      </c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 t="s">
        <v>43</v>
      </c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 t="s">
        <v>43</v>
      </c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 t="s">
        <v>43</v>
      </c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 t="s">
        <v>43</v>
      </c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 t="s">
        <v>43</v>
      </c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 t="s">
        <v>43</v>
      </c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 t="s">
        <v>43</v>
      </c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 t="s">
        <v>43</v>
      </c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 t="s">
        <v>43</v>
      </c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 t="s">
        <v>43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 t="s">
        <v>43</v>
      </c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 t="s">
        <v>43</v>
      </c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 t="s">
        <v>43</v>
      </c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 t="s">
        <v>43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2" width="16.0"/>
    <col customWidth="1" min="3" max="3" width="20.38"/>
    <col customWidth="1" min="4" max="4" width="37.88"/>
    <col customWidth="1" min="5" max="5" width="18.63"/>
    <col customWidth="1" min="6" max="6" width="21.38"/>
    <col customWidth="1" min="7" max="7" width="9.75"/>
    <col customWidth="1" min="8" max="8" width="19.5"/>
    <col customWidth="1" min="9" max="9" width="6.88"/>
    <col customWidth="1" min="10" max="10" width="6.75"/>
    <col customWidth="1" min="11" max="11" width="14.0"/>
    <col customWidth="1" min="12" max="12" width="31.88"/>
    <col customWidth="1" min="13" max="26" width="8.63"/>
  </cols>
  <sheetData>
    <row r="1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29</v>
      </c>
      <c r="L1" s="5" t="s">
        <v>40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54</v>
      </c>
      <c r="B2" s="7" t="s">
        <v>55</v>
      </c>
      <c r="C2" s="7" t="s">
        <v>56</v>
      </c>
      <c r="D2" s="7" t="s">
        <v>57</v>
      </c>
      <c r="E2" s="7">
        <v>70.0</v>
      </c>
      <c r="F2" s="7">
        <v>3031.0</v>
      </c>
      <c r="G2" s="7" t="s">
        <v>58</v>
      </c>
      <c r="H2" s="7" t="s">
        <v>59</v>
      </c>
      <c r="I2" s="7" t="s">
        <v>60</v>
      </c>
      <c r="J2" s="7" t="s">
        <v>61</v>
      </c>
      <c r="K2" s="7" t="s">
        <v>62</v>
      </c>
      <c r="L2" s="7" t="s">
        <v>63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64</v>
      </c>
      <c r="B3" s="7" t="s">
        <v>65</v>
      </c>
      <c r="C3" s="7" t="s">
        <v>66</v>
      </c>
      <c r="D3" s="7" t="s">
        <v>67</v>
      </c>
      <c r="E3" s="7">
        <v>25.0</v>
      </c>
      <c r="F3" s="7">
        <v>1083.0</v>
      </c>
      <c r="G3" s="7" t="s">
        <v>58</v>
      </c>
      <c r="H3" s="7" t="s">
        <v>68</v>
      </c>
      <c r="I3" s="7" t="s">
        <v>58</v>
      </c>
      <c r="J3" s="7" t="s">
        <v>61</v>
      </c>
      <c r="K3" s="7" t="s">
        <v>69</v>
      </c>
      <c r="L3" s="7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70</v>
      </c>
      <c r="B4" s="7" t="s">
        <v>71</v>
      </c>
      <c r="C4" s="7" t="s">
        <v>72</v>
      </c>
      <c r="D4" s="7" t="s">
        <v>73</v>
      </c>
      <c r="E4" s="7">
        <v>120.0</v>
      </c>
      <c r="F4" s="7">
        <v>5196.0</v>
      </c>
      <c r="G4" s="7" t="s">
        <v>60</v>
      </c>
      <c r="H4" s="7" t="s">
        <v>74</v>
      </c>
      <c r="I4" s="7" t="s">
        <v>60</v>
      </c>
      <c r="J4" s="7" t="s">
        <v>61</v>
      </c>
      <c r="K4" s="7" t="s">
        <v>75</v>
      </c>
      <c r="L4" s="7" t="s">
        <v>76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77</v>
      </c>
      <c r="B5" s="7" t="s">
        <v>78</v>
      </c>
      <c r="C5" s="7" t="s">
        <v>79</v>
      </c>
      <c r="D5" s="7" t="s">
        <v>80</v>
      </c>
      <c r="E5" s="7">
        <v>10.0</v>
      </c>
      <c r="F5" s="7">
        <v>433.0</v>
      </c>
      <c r="G5" s="7" t="s">
        <v>81</v>
      </c>
      <c r="H5" s="7" t="s">
        <v>82</v>
      </c>
      <c r="I5" s="7" t="s">
        <v>81</v>
      </c>
      <c r="J5" s="7" t="s">
        <v>61</v>
      </c>
      <c r="K5" s="7" t="s">
        <v>69</v>
      </c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83</v>
      </c>
      <c r="B6" s="7" t="s">
        <v>84</v>
      </c>
      <c r="C6" s="7" t="s">
        <v>85</v>
      </c>
      <c r="D6" s="7" t="s">
        <v>86</v>
      </c>
      <c r="E6" s="7">
        <v>3.0</v>
      </c>
      <c r="F6" s="7">
        <v>130.0</v>
      </c>
      <c r="G6" s="7" t="s">
        <v>81</v>
      </c>
      <c r="H6" s="7" t="s">
        <v>87</v>
      </c>
      <c r="I6" s="7" t="s">
        <v>81</v>
      </c>
      <c r="J6" s="7" t="s">
        <v>61</v>
      </c>
      <c r="K6" s="7" t="s">
        <v>69</v>
      </c>
      <c r="L6" s="7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48.0"/>
    <col customWidth="1" min="3" max="4" width="16.0"/>
    <col customWidth="1" min="5" max="5" width="44.0"/>
    <col customWidth="1" min="6" max="26" width="8.63"/>
  </cols>
  <sheetData>
    <row r="1">
      <c r="A1" s="8" t="s">
        <v>88</v>
      </c>
      <c r="B1" s="8" t="s">
        <v>89</v>
      </c>
      <c r="C1" s="8" t="s">
        <v>90</v>
      </c>
      <c r="D1" s="8" t="s">
        <v>91</v>
      </c>
      <c r="E1" s="8" t="s">
        <v>92</v>
      </c>
    </row>
    <row r="2">
      <c r="A2" s="9" t="s">
        <v>93</v>
      </c>
      <c r="B2" s="9" t="s">
        <v>94</v>
      </c>
      <c r="C2" s="9">
        <v>15.0</v>
      </c>
      <c r="D2" s="9" t="s">
        <v>95</v>
      </c>
      <c r="E2" s="9" t="s">
        <v>96</v>
      </c>
    </row>
    <row r="3">
      <c r="A3" s="9" t="s">
        <v>97</v>
      </c>
      <c r="B3" s="9" t="s">
        <v>98</v>
      </c>
      <c r="C3" s="9">
        <v>25.0</v>
      </c>
      <c r="D3" s="9" t="s">
        <v>99</v>
      </c>
      <c r="E3" s="9" t="s">
        <v>100</v>
      </c>
    </row>
    <row r="4">
      <c r="A4" s="9" t="s">
        <v>101</v>
      </c>
      <c r="B4" s="9" t="s">
        <v>102</v>
      </c>
      <c r="C4" s="9">
        <v>20.0</v>
      </c>
      <c r="D4" s="9" t="s">
        <v>103</v>
      </c>
      <c r="E4" s="9" t="s">
        <v>104</v>
      </c>
    </row>
    <row r="5">
      <c r="A5" s="9" t="s">
        <v>22</v>
      </c>
      <c r="B5" s="9" t="s">
        <v>105</v>
      </c>
      <c r="C5" s="9">
        <v>25.0</v>
      </c>
      <c r="D5" s="9" t="s">
        <v>106</v>
      </c>
      <c r="E5" s="9" t="s">
        <v>107</v>
      </c>
    </row>
    <row r="6">
      <c r="A6" s="9" t="s">
        <v>108</v>
      </c>
      <c r="B6" s="9" t="s">
        <v>109</v>
      </c>
      <c r="C6" s="9">
        <v>20.0</v>
      </c>
      <c r="D6" s="9" t="s">
        <v>110</v>
      </c>
      <c r="E6" s="9" t="s">
        <v>111</v>
      </c>
    </row>
    <row r="7">
      <c r="A7" s="9" t="s">
        <v>112</v>
      </c>
      <c r="B7" s="9" t="s">
        <v>113</v>
      </c>
      <c r="C7" s="9">
        <v>20.0</v>
      </c>
      <c r="D7" s="9" t="s">
        <v>114</v>
      </c>
      <c r="E7" s="9" t="s">
        <v>115</v>
      </c>
    </row>
    <row r="8">
      <c r="A8" s="9" t="s">
        <v>116</v>
      </c>
      <c r="B8" s="9" t="s">
        <v>117</v>
      </c>
      <c r="C8" s="9">
        <v>22.0</v>
      </c>
      <c r="D8" s="9" t="s">
        <v>118</v>
      </c>
      <c r="E8" s="9" t="s">
        <v>119</v>
      </c>
    </row>
    <row r="9">
      <c r="A9" s="9" t="s">
        <v>120</v>
      </c>
      <c r="B9" s="9" t="s">
        <v>121</v>
      </c>
      <c r="C9" s="9">
        <v>10.0</v>
      </c>
      <c r="D9" s="9" t="s">
        <v>122</v>
      </c>
      <c r="E9" s="9" t="s">
        <v>123</v>
      </c>
    </row>
    <row r="10">
      <c r="A10" s="9" t="s">
        <v>124</v>
      </c>
      <c r="B10" s="9" t="s">
        <v>125</v>
      </c>
      <c r="C10" s="9">
        <v>3.0</v>
      </c>
      <c r="D10" s="9" t="s">
        <v>126</v>
      </c>
      <c r="E10" s="9" t="s">
        <v>127</v>
      </c>
    </row>
    <row r="11">
      <c r="A11" s="9" t="s">
        <v>128</v>
      </c>
      <c r="B11" s="9" t="s">
        <v>129</v>
      </c>
      <c r="C11" s="9">
        <v>100.0</v>
      </c>
      <c r="D11" s="9" t="s">
        <v>130</v>
      </c>
      <c r="E11" s="9" t="s"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0.0"/>
    <col customWidth="1" min="3" max="3" width="42.0"/>
    <col customWidth="1" min="4" max="6" width="30.0"/>
    <col customWidth="1" min="7" max="26" width="8.63"/>
  </cols>
  <sheetData>
    <row r="1">
      <c r="A1" s="8" t="s">
        <v>132</v>
      </c>
      <c r="B1" s="8" t="s">
        <v>133</v>
      </c>
      <c r="C1" s="8" t="s">
        <v>134</v>
      </c>
      <c r="D1" s="8" t="s">
        <v>135</v>
      </c>
      <c r="E1" s="8" t="s">
        <v>136</v>
      </c>
      <c r="F1" s="8" t="s">
        <v>137</v>
      </c>
    </row>
    <row r="2">
      <c r="A2" s="9" t="s">
        <v>138</v>
      </c>
      <c r="B2" s="9" t="s">
        <v>139</v>
      </c>
      <c r="C2" s="9" t="s">
        <v>140</v>
      </c>
      <c r="D2" s="9" t="s">
        <v>141</v>
      </c>
      <c r="E2" s="9" t="s">
        <v>142</v>
      </c>
      <c r="F2" s="9" t="s">
        <v>143</v>
      </c>
    </row>
    <row r="3">
      <c r="A3" s="9" t="s">
        <v>144</v>
      </c>
      <c r="B3" s="9" t="s">
        <v>145</v>
      </c>
      <c r="C3" s="9" t="s">
        <v>146</v>
      </c>
      <c r="D3" s="9" t="s">
        <v>147</v>
      </c>
      <c r="E3" s="9" t="s">
        <v>148</v>
      </c>
      <c r="F3" s="9" t="s">
        <v>149</v>
      </c>
    </row>
    <row r="4">
      <c r="A4" s="9" t="s">
        <v>150</v>
      </c>
      <c r="B4" s="9" t="s">
        <v>151</v>
      </c>
      <c r="C4" s="9" t="s">
        <v>152</v>
      </c>
      <c r="D4" s="9" t="s">
        <v>153</v>
      </c>
      <c r="E4" s="9" t="s">
        <v>154</v>
      </c>
      <c r="F4" s="9" t="s">
        <v>155</v>
      </c>
    </row>
    <row r="5">
      <c r="A5" s="9" t="s">
        <v>156</v>
      </c>
      <c r="B5" s="9" t="s">
        <v>69</v>
      </c>
      <c r="C5" s="9" t="s">
        <v>157</v>
      </c>
      <c r="D5" s="9" t="s">
        <v>153</v>
      </c>
      <c r="E5" s="9" t="s">
        <v>158</v>
      </c>
      <c r="F5" s="9" t="s">
        <v>159</v>
      </c>
    </row>
    <row r="6">
      <c r="A6" s="9" t="s">
        <v>160</v>
      </c>
      <c r="B6" s="9" t="s">
        <v>161</v>
      </c>
      <c r="C6" s="9" t="s">
        <v>162</v>
      </c>
      <c r="D6" s="9" t="s">
        <v>163</v>
      </c>
      <c r="E6" s="9" t="s">
        <v>164</v>
      </c>
      <c r="F6" s="9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20.0"/>
    <col customWidth="1" min="11" max="26" width="8.63"/>
  </cols>
  <sheetData>
    <row r="1">
      <c r="A1" s="10" t="s">
        <v>166</v>
      </c>
      <c r="B1" s="10" t="s">
        <v>167</v>
      </c>
      <c r="C1" s="10" t="s">
        <v>168</v>
      </c>
      <c r="D1" s="10" t="s">
        <v>169</v>
      </c>
      <c r="E1" s="10" t="s">
        <v>170</v>
      </c>
      <c r="F1" s="10" t="s">
        <v>171</v>
      </c>
      <c r="G1" s="10" t="s">
        <v>172</v>
      </c>
      <c r="H1" s="10" t="s">
        <v>173</v>
      </c>
      <c r="I1" s="10" t="s">
        <v>174</v>
      </c>
      <c r="J1" s="10" t="s">
        <v>40</v>
      </c>
    </row>
    <row r="2">
      <c r="A2" s="11" t="s">
        <v>175</v>
      </c>
      <c r="B2" s="12" t="s">
        <v>176</v>
      </c>
      <c r="C2" s="11" t="s">
        <v>177</v>
      </c>
      <c r="D2" s="11" t="s">
        <v>178</v>
      </c>
      <c r="E2" s="11" t="s">
        <v>179</v>
      </c>
      <c r="F2" s="11" t="s">
        <v>180</v>
      </c>
      <c r="G2" s="11"/>
      <c r="H2" s="11"/>
      <c r="I2" s="11"/>
      <c r="J2" s="11"/>
    </row>
    <row r="3">
      <c r="A3" s="11" t="s">
        <v>181</v>
      </c>
      <c r="B3" s="12" t="s">
        <v>176</v>
      </c>
      <c r="C3" s="11" t="s">
        <v>182</v>
      </c>
      <c r="D3" s="11" t="s">
        <v>183</v>
      </c>
      <c r="E3" s="11" t="s">
        <v>179</v>
      </c>
      <c r="F3" s="11" t="s">
        <v>180</v>
      </c>
      <c r="G3" s="11"/>
      <c r="H3" s="11"/>
      <c r="I3" s="11"/>
      <c r="J3" s="11"/>
    </row>
    <row r="4">
      <c r="A4" s="11" t="s">
        <v>184</v>
      </c>
      <c r="B4" s="12" t="s">
        <v>185</v>
      </c>
      <c r="C4" s="11" t="s">
        <v>177</v>
      </c>
      <c r="D4" s="11" t="s">
        <v>178</v>
      </c>
      <c r="E4" s="11" t="s">
        <v>179</v>
      </c>
      <c r="F4" s="11" t="s">
        <v>180</v>
      </c>
      <c r="G4" s="11"/>
      <c r="H4" s="11"/>
      <c r="I4" s="11"/>
      <c r="J4" s="11"/>
    </row>
    <row r="5">
      <c r="A5" s="11" t="s">
        <v>186</v>
      </c>
      <c r="B5" s="12" t="s">
        <v>185</v>
      </c>
      <c r="C5" s="11" t="s">
        <v>182</v>
      </c>
      <c r="D5" s="11" t="s">
        <v>183</v>
      </c>
      <c r="E5" s="11" t="s">
        <v>179</v>
      </c>
      <c r="F5" s="11" t="s">
        <v>180</v>
      </c>
      <c r="G5" s="11"/>
      <c r="H5" s="11"/>
      <c r="I5" s="11"/>
      <c r="J5" s="11"/>
    </row>
    <row r="6">
      <c r="A6" s="11" t="s">
        <v>187</v>
      </c>
      <c r="B6" s="12" t="s">
        <v>188</v>
      </c>
      <c r="C6" s="11" t="s">
        <v>177</v>
      </c>
      <c r="D6" s="11" t="s">
        <v>178</v>
      </c>
      <c r="E6" s="11" t="s">
        <v>179</v>
      </c>
      <c r="F6" s="11" t="s">
        <v>180</v>
      </c>
      <c r="G6" s="11"/>
      <c r="H6" s="11"/>
      <c r="I6" s="11"/>
      <c r="J6" s="11"/>
    </row>
    <row r="7">
      <c r="A7" s="11" t="s">
        <v>189</v>
      </c>
      <c r="B7" s="12" t="s">
        <v>188</v>
      </c>
      <c r="C7" s="11" t="s">
        <v>182</v>
      </c>
      <c r="D7" s="11" t="s">
        <v>183</v>
      </c>
      <c r="E7" s="11" t="s">
        <v>179</v>
      </c>
      <c r="F7" s="11" t="s">
        <v>180</v>
      </c>
      <c r="G7" s="11"/>
      <c r="H7" s="11"/>
      <c r="I7" s="11"/>
      <c r="J7" s="11"/>
    </row>
    <row r="8">
      <c r="A8" s="11" t="s">
        <v>190</v>
      </c>
      <c r="B8" s="12" t="s">
        <v>191</v>
      </c>
      <c r="C8" s="11" t="s">
        <v>177</v>
      </c>
      <c r="D8" s="11" t="s">
        <v>178</v>
      </c>
      <c r="E8" s="11" t="s">
        <v>179</v>
      </c>
      <c r="F8" s="11" t="s">
        <v>180</v>
      </c>
      <c r="G8" s="11"/>
      <c r="H8" s="11"/>
      <c r="I8" s="11"/>
      <c r="J8" s="11"/>
    </row>
    <row r="9">
      <c r="A9" s="11" t="s">
        <v>192</v>
      </c>
      <c r="B9" s="12" t="s">
        <v>191</v>
      </c>
      <c r="C9" s="11" t="s">
        <v>182</v>
      </c>
      <c r="D9" s="11" t="s">
        <v>183</v>
      </c>
      <c r="E9" s="11" t="s">
        <v>179</v>
      </c>
      <c r="F9" s="11" t="s">
        <v>180</v>
      </c>
      <c r="G9" s="11"/>
      <c r="H9" s="11"/>
      <c r="I9" s="11"/>
      <c r="J9" s="11"/>
    </row>
    <row r="10">
      <c r="A10" s="11" t="s">
        <v>193</v>
      </c>
      <c r="B10" s="12" t="s">
        <v>194</v>
      </c>
      <c r="C10" s="11" t="s">
        <v>177</v>
      </c>
      <c r="D10" s="11" t="s">
        <v>178</v>
      </c>
      <c r="E10" s="11" t="s">
        <v>179</v>
      </c>
      <c r="F10" s="11" t="s">
        <v>180</v>
      </c>
      <c r="G10" s="11"/>
      <c r="H10" s="11"/>
      <c r="I10" s="11"/>
      <c r="J10" s="11"/>
    </row>
    <row r="11">
      <c r="A11" s="11" t="s">
        <v>195</v>
      </c>
      <c r="B11" s="12" t="s">
        <v>194</v>
      </c>
      <c r="C11" s="11" t="s">
        <v>182</v>
      </c>
      <c r="D11" s="11" t="s">
        <v>183</v>
      </c>
      <c r="E11" s="11" t="s">
        <v>179</v>
      </c>
      <c r="F11" s="11" t="s">
        <v>180</v>
      </c>
      <c r="G11" s="11"/>
      <c r="H11" s="11"/>
      <c r="I11" s="11"/>
      <c r="J11" s="11"/>
    </row>
    <row r="12">
      <c r="A12" s="11" t="s">
        <v>196</v>
      </c>
      <c r="B12" s="12" t="s">
        <v>197</v>
      </c>
      <c r="C12" s="11" t="s">
        <v>177</v>
      </c>
      <c r="D12" s="11" t="s">
        <v>178</v>
      </c>
      <c r="E12" s="11" t="s">
        <v>179</v>
      </c>
      <c r="F12" s="11" t="s">
        <v>180</v>
      </c>
      <c r="G12" s="11"/>
      <c r="H12" s="11"/>
      <c r="I12" s="11"/>
      <c r="J12" s="11"/>
    </row>
    <row r="13">
      <c r="A13" s="11" t="s">
        <v>198</v>
      </c>
      <c r="B13" s="12" t="s">
        <v>197</v>
      </c>
      <c r="C13" s="11" t="s">
        <v>182</v>
      </c>
      <c r="D13" s="11" t="s">
        <v>183</v>
      </c>
      <c r="E13" s="11" t="s">
        <v>179</v>
      </c>
      <c r="F13" s="11" t="s">
        <v>180</v>
      </c>
      <c r="G13" s="11"/>
      <c r="H13" s="11"/>
      <c r="I13" s="11"/>
      <c r="J13" s="11"/>
    </row>
    <row r="14">
      <c r="A14" s="11" t="s">
        <v>199</v>
      </c>
      <c r="B14" s="12" t="s">
        <v>200</v>
      </c>
      <c r="C14" s="11" t="s">
        <v>177</v>
      </c>
      <c r="D14" s="11" t="s">
        <v>178</v>
      </c>
      <c r="E14" s="11" t="s">
        <v>179</v>
      </c>
      <c r="F14" s="11" t="s">
        <v>180</v>
      </c>
      <c r="G14" s="11"/>
      <c r="H14" s="11"/>
      <c r="I14" s="11"/>
      <c r="J14" s="11"/>
    </row>
    <row r="15">
      <c r="A15" s="11" t="s">
        <v>201</v>
      </c>
      <c r="B15" s="12" t="s">
        <v>200</v>
      </c>
      <c r="C15" s="11" t="s">
        <v>182</v>
      </c>
      <c r="D15" s="11" t="s">
        <v>183</v>
      </c>
      <c r="E15" s="11" t="s">
        <v>179</v>
      </c>
      <c r="F15" s="11" t="s">
        <v>180</v>
      </c>
      <c r="G15" s="11"/>
      <c r="H15" s="11"/>
      <c r="I15" s="11"/>
      <c r="J15" s="11"/>
    </row>
    <row r="16">
      <c r="A16" s="11"/>
      <c r="B16" s="12"/>
      <c r="C16" s="11"/>
      <c r="D16" s="11"/>
      <c r="E16" s="11"/>
      <c r="F16" s="11"/>
      <c r="G16" s="11"/>
      <c r="H16" s="11"/>
      <c r="I16" s="11"/>
      <c r="J16" s="11"/>
    </row>
    <row r="17">
      <c r="A17" s="11"/>
      <c r="B17" s="12"/>
      <c r="C17" s="11"/>
      <c r="D17" s="11"/>
      <c r="E17" s="11"/>
      <c r="F17" s="11"/>
      <c r="G17" s="11"/>
      <c r="H17" s="11"/>
      <c r="I17" s="11"/>
      <c r="J17" s="11"/>
    </row>
    <row r="18">
      <c r="A18" s="11"/>
      <c r="B18" s="12"/>
      <c r="C18" s="11"/>
      <c r="D18" s="11"/>
      <c r="E18" s="11"/>
      <c r="F18" s="11"/>
      <c r="G18" s="11"/>
      <c r="H18" s="11"/>
      <c r="I18" s="11"/>
      <c r="J18" s="11"/>
    </row>
    <row r="19">
      <c r="A19" s="11"/>
      <c r="B19" s="12"/>
      <c r="C19" s="11"/>
      <c r="D19" s="11"/>
      <c r="E19" s="11"/>
      <c r="F19" s="11"/>
      <c r="G19" s="11"/>
      <c r="H19" s="11"/>
      <c r="I19" s="11"/>
      <c r="J19" s="11"/>
    </row>
    <row r="20">
      <c r="A20" s="11"/>
      <c r="B20" s="12"/>
      <c r="C20" s="11"/>
      <c r="D20" s="11"/>
      <c r="E20" s="11"/>
      <c r="F20" s="11"/>
      <c r="G20" s="11"/>
      <c r="H20" s="11"/>
      <c r="I20" s="11"/>
      <c r="J20" s="11"/>
    </row>
    <row r="21" ht="15.75" customHeight="1">
      <c r="A21" s="11"/>
      <c r="B21" s="12"/>
      <c r="C21" s="11"/>
      <c r="D21" s="11"/>
      <c r="E21" s="11"/>
      <c r="F21" s="11"/>
      <c r="G21" s="11"/>
      <c r="H21" s="11"/>
      <c r="I21" s="11"/>
      <c r="J21" s="11"/>
    </row>
    <row r="22" ht="15.75" customHeight="1">
      <c r="A22" s="11"/>
      <c r="B22" s="12"/>
      <c r="C22" s="11"/>
      <c r="D22" s="11"/>
      <c r="E22" s="11"/>
      <c r="F22" s="11"/>
      <c r="G22" s="11"/>
      <c r="H22" s="11"/>
      <c r="I22" s="11"/>
      <c r="J22" s="11"/>
    </row>
    <row r="23" ht="15.75" customHeight="1">
      <c r="A23" s="11"/>
      <c r="B23" s="12"/>
      <c r="C23" s="11"/>
      <c r="D23" s="11"/>
      <c r="E23" s="11"/>
      <c r="F23" s="11"/>
      <c r="G23" s="11"/>
      <c r="H23" s="11"/>
      <c r="I23" s="11"/>
      <c r="J23" s="11"/>
    </row>
    <row r="24" ht="15.75" customHeight="1">
      <c r="A24" s="11"/>
      <c r="B24" s="12"/>
      <c r="C24" s="11"/>
      <c r="D24" s="11"/>
      <c r="E24" s="11"/>
      <c r="F24" s="11"/>
      <c r="G24" s="11"/>
      <c r="H24" s="11"/>
      <c r="I24" s="11"/>
      <c r="J24" s="11"/>
    </row>
    <row r="25" ht="15.75" customHeight="1">
      <c r="A25" s="11"/>
      <c r="B25" s="12"/>
      <c r="C25" s="11"/>
      <c r="D25" s="11"/>
      <c r="E25" s="11"/>
      <c r="F25" s="11"/>
      <c r="G25" s="11"/>
      <c r="H25" s="11"/>
      <c r="I25" s="11"/>
      <c r="J25" s="11"/>
    </row>
    <row r="26" ht="15.75" customHeight="1">
      <c r="A26" s="11"/>
      <c r="B26" s="12"/>
      <c r="C26" s="11"/>
      <c r="D26" s="11"/>
      <c r="E26" s="11"/>
      <c r="F26" s="11"/>
      <c r="G26" s="11"/>
      <c r="H26" s="11"/>
      <c r="I26" s="11"/>
      <c r="J26" s="11"/>
    </row>
    <row r="27" ht="15.75" customHeight="1">
      <c r="A27" s="11"/>
      <c r="B27" s="12"/>
      <c r="C27" s="11"/>
      <c r="D27" s="11"/>
      <c r="E27" s="11"/>
      <c r="F27" s="11"/>
      <c r="G27" s="11"/>
      <c r="H27" s="11"/>
      <c r="I27" s="11"/>
      <c r="J27" s="11"/>
    </row>
    <row r="28" ht="15.75" customHeight="1">
      <c r="A28" s="11"/>
      <c r="B28" s="12"/>
      <c r="C28" s="11"/>
      <c r="D28" s="11"/>
      <c r="E28" s="11"/>
      <c r="F28" s="11"/>
      <c r="G28" s="11"/>
      <c r="H28" s="11"/>
      <c r="I28" s="11"/>
      <c r="J28" s="11"/>
    </row>
    <row r="29" ht="15.75" customHeight="1">
      <c r="A29" s="11"/>
      <c r="B29" s="12"/>
      <c r="C29" s="11"/>
      <c r="D29" s="11"/>
      <c r="E29" s="11"/>
      <c r="F29" s="11"/>
      <c r="G29" s="11"/>
      <c r="H29" s="11"/>
      <c r="I29" s="11"/>
      <c r="J29" s="11"/>
    </row>
    <row r="30" ht="15.75" customHeight="1">
      <c r="A30" s="11"/>
      <c r="B30" s="12"/>
      <c r="C30" s="11"/>
      <c r="D30" s="11"/>
      <c r="E30" s="11"/>
      <c r="F30" s="11"/>
      <c r="G30" s="11"/>
      <c r="H30" s="11"/>
      <c r="I30" s="11"/>
      <c r="J30" s="11"/>
    </row>
    <row r="31" ht="15.75" customHeight="1">
      <c r="A31" s="11"/>
      <c r="B31" s="12"/>
      <c r="C31" s="11"/>
      <c r="D31" s="11"/>
      <c r="E31" s="11"/>
      <c r="F31" s="11"/>
      <c r="G31" s="11"/>
      <c r="H31" s="11"/>
      <c r="I31" s="11"/>
      <c r="J31" s="11"/>
    </row>
    <row r="32" ht="15.75" customHeight="1">
      <c r="A32" s="11"/>
      <c r="B32" s="12"/>
      <c r="C32" s="11"/>
      <c r="D32" s="11"/>
      <c r="E32" s="11"/>
      <c r="F32" s="11"/>
      <c r="G32" s="11"/>
      <c r="H32" s="11"/>
      <c r="I32" s="11"/>
      <c r="J32" s="11"/>
    </row>
    <row r="33" ht="15.75" customHeight="1">
      <c r="A33" s="11"/>
      <c r="B33" s="12"/>
      <c r="C33" s="11"/>
      <c r="D33" s="11"/>
      <c r="E33" s="11"/>
      <c r="F33" s="11"/>
      <c r="G33" s="11"/>
      <c r="H33" s="11"/>
      <c r="I33" s="11"/>
      <c r="J33" s="11"/>
    </row>
    <row r="34" ht="15.75" customHeight="1">
      <c r="A34" s="11"/>
      <c r="B34" s="12"/>
      <c r="C34" s="11"/>
      <c r="D34" s="11"/>
      <c r="E34" s="11"/>
      <c r="F34" s="11"/>
      <c r="G34" s="11"/>
      <c r="H34" s="11"/>
      <c r="I34" s="11"/>
      <c r="J34" s="11"/>
    </row>
    <row r="35" ht="15.75" customHeight="1">
      <c r="A35" s="11"/>
      <c r="B35" s="12"/>
      <c r="C35" s="11"/>
      <c r="D35" s="11"/>
      <c r="E35" s="11"/>
      <c r="F35" s="11"/>
      <c r="G35" s="11"/>
      <c r="H35" s="11"/>
      <c r="I35" s="11"/>
      <c r="J35" s="11"/>
    </row>
    <row r="36" ht="15.75" customHeight="1">
      <c r="A36" s="11"/>
      <c r="B36" s="12"/>
      <c r="C36" s="11"/>
      <c r="D36" s="11"/>
      <c r="E36" s="11"/>
      <c r="F36" s="11"/>
      <c r="G36" s="11"/>
      <c r="H36" s="11"/>
      <c r="I36" s="11"/>
      <c r="J36" s="11"/>
    </row>
    <row r="37" ht="15.75" customHeight="1">
      <c r="A37" s="11"/>
      <c r="B37" s="12"/>
      <c r="C37" s="11"/>
      <c r="D37" s="11"/>
      <c r="E37" s="11"/>
      <c r="F37" s="11"/>
      <c r="G37" s="11"/>
      <c r="H37" s="11"/>
      <c r="I37" s="11"/>
      <c r="J37" s="11"/>
    </row>
    <row r="38" ht="15.75" customHeight="1">
      <c r="A38" s="11"/>
      <c r="B38" s="12"/>
      <c r="C38" s="11"/>
      <c r="D38" s="11"/>
      <c r="E38" s="11"/>
      <c r="F38" s="11"/>
      <c r="G38" s="11"/>
      <c r="H38" s="11"/>
      <c r="I38" s="11"/>
      <c r="J38" s="11"/>
    </row>
    <row r="39" ht="15.75" customHeight="1">
      <c r="A39" s="11"/>
      <c r="B39" s="12"/>
      <c r="C39" s="11"/>
      <c r="D39" s="11"/>
      <c r="E39" s="11"/>
      <c r="F39" s="11"/>
      <c r="G39" s="11"/>
      <c r="H39" s="11"/>
      <c r="I39" s="11"/>
      <c r="J39" s="11"/>
    </row>
    <row r="40" ht="15.75" customHeight="1">
      <c r="A40" s="11"/>
      <c r="B40" s="12"/>
      <c r="C40" s="11"/>
      <c r="D40" s="11"/>
      <c r="E40" s="11"/>
      <c r="F40" s="11"/>
      <c r="G40" s="11"/>
      <c r="H40" s="11"/>
      <c r="I40" s="11"/>
      <c r="J40" s="11"/>
    </row>
    <row r="41" ht="15.75" customHeight="1">
      <c r="A41" s="11"/>
      <c r="B41" s="12"/>
      <c r="C41" s="11"/>
      <c r="D41" s="11"/>
      <c r="E41" s="11"/>
      <c r="F41" s="11"/>
      <c r="G41" s="11"/>
      <c r="H41" s="11"/>
      <c r="I41" s="11"/>
      <c r="J41" s="11"/>
    </row>
    <row r="42" ht="15.75" customHeight="1">
      <c r="A42" s="11"/>
      <c r="B42" s="12"/>
      <c r="C42" s="11"/>
      <c r="D42" s="11"/>
      <c r="E42" s="11"/>
      <c r="F42" s="11"/>
      <c r="G42" s="11"/>
      <c r="H42" s="11"/>
      <c r="I42" s="11"/>
      <c r="J42" s="11"/>
    </row>
    <row r="43" ht="15.75" customHeight="1">
      <c r="A43" s="11"/>
      <c r="B43" s="12"/>
      <c r="C43" s="11"/>
      <c r="D43" s="11"/>
      <c r="E43" s="11"/>
      <c r="F43" s="11"/>
      <c r="G43" s="11"/>
      <c r="H43" s="11"/>
      <c r="I43" s="11"/>
      <c r="J43" s="11"/>
    </row>
    <row r="44" ht="15.75" customHeight="1">
      <c r="A44" s="11"/>
      <c r="B44" s="12"/>
      <c r="C44" s="11"/>
      <c r="D44" s="11"/>
      <c r="E44" s="11"/>
      <c r="F44" s="11"/>
      <c r="G44" s="11"/>
      <c r="H44" s="11"/>
      <c r="I44" s="11"/>
      <c r="J44" s="11"/>
    </row>
    <row r="45" ht="15.75" customHeight="1">
      <c r="A45" s="11"/>
      <c r="B45" s="12"/>
      <c r="C45" s="11"/>
      <c r="D45" s="11"/>
      <c r="E45" s="11"/>
      <c r="F45" s="11"/>
      <c r="G45" s="11"/>
      <c r="H45" s="11"/>
      <c r="I45" s="11"/>
      <c r="J45" s="11"/>
    </row>
    <row r="46" ht="15.75" customHeight="1">
      <c r="A46" s="11"/>
      <c r="B46" s="12"/>
      <c r="C46" s="11"/>
      <c r="D46" s="11"/>
      <c r="E46" s="11"/>
      <c r="F46" s="11"/>
      <c r="G46" s="11"/>
      <c r="H46" s="11"/>
      <c r="I46" s="11"/>
      <c r="J46" s="11"/>
    </row>
    <row r="47" ht="15.75" customHeight="1">
      <c r="A47" s="11"/>
      <c r="B47" s="12"/>
      <c r="C47" s="11"/>
      <c r="D47" s="11"/>
      <c r="E47" s="11"/>
      <c r="F47" s="11"/>
      <c r="G47" s="11"/>
      <c r="H47" s="11"/>
      <c r="I47" s="11"/>
      <c r="J47" s="11"/>
    </row>
    <row r="48" ht="15.75" customHeight="1">
      <c r="A48" s="11"/>
      <c r="B48" s="12"/>
      <c r="C48" s="11"/>
      <c r="D48" s="11"/>
      <c r="E48" s="11"/>
      <c r="F48" s="11"/>
      <c r="G48" s="11"/>
      <c r="H48" s="11"/>
      <c r="I48" s="11"/>
      <c r="J48" s="11"/>
    </row>
    <row r="49" ht="15.75" customHeight="1">
      <c r="A49" s="11"/>
      <c r="B49" s="12"/>
      <c r="C49" s="11"/>
      <c r="D49" s="11"/>
      <c r="E49" s="11"/>
      <c r="F49" s="11"/>
      <c r="G49" s="11"/>
      <c r="H49" s="11"/>
      <c r="I49" s="11"/>
      <c r="J49" s="11"/>
    </row>
    <row r="50" ht="15.75" customHeight="1">
      <c r="A50" s="11"/>
      <c r="B50" s="12"/>
      <c r="C50" s="11"/>
      <c r="D50" s="11"/>
      <c r="E50" s="11"/>
      <c r="F50" s="11"/>
      <c r="G50" s="11"/>
      <c r="H50" s="11"/>
      <c r="I50" s="11"/>
      <c r="J50" s="11"/>
    </row>
    <row r="51" ht="15.75" customHeight="1">
      <c r="A51" s="11"/>
      <c r="B51" s="12"/>
      <c r="C51" s="11"/>
      <c r="D51" s="11"/>
      <c r="E51" s="11"/>
      <c r="F51" s="11"/>
      <c r="G51" s="11"/>
      <c r="H51" s="11"/>
      <c r="I51" s="11"/>
      <c r="J51" s="11"/>
    </row>
    <row r="52" ht="15.75" customHeight="1">
      <c r="A52" s="11"/>
      <c r="B52" s="12"/>
      <c r="C52" s="11"/>
      <c r="D52" s="11"/>
      <c r="E52" s="11"/>
      <c r="F52" s="11"/>
      <c r="G52" s="11"/>
      <c r="H52" s="11"/>
      <c r="I52" s="11"/>
      <c r="J52" s="11"/>
    </row>
    <row r="53" ht="15.75" customHeight="1">
      <c r="A53" s="11"/>
      <c r="B53" s="12"/>
      <c r="C53" s="11"/>
      <c r="D53" s="11"/>
      <c r="E53" s="11"/>
      <c r="F53" s="11"/>
      <c r="G53" s="11"/>
      <c r="H53" s="11"/>
      <c r="I53" s="11"/>
      <c r="J53" s="11"/>
    </row>
    <row r="54" ht="15.75" customHeight="1">
      <c r="A54" s="11"/>
      <c r="B54" s="12"/>
      <c r="C54" s="11"/>
      <c r="D54" s="11"/>
      <c r="E54" s="11"/>
      <c r="F54" s="11"/>
      <c r="G54" s="11"/>
      <c r="H54" s="11"/>
      <c r="I54" s="11"/>
      <c r="J54" s="11"/>
    </row>
    <row r="55" ht="15.75" customHeight="1">
      <c r="A55" s="11"/>
      <c r="B55" s="12"/>
      <c r="C55" s="11"/>
      <c r="D55" s="11"/>
      <c r="E55" s="11"/>
      <c r="F55" s="11"/>
      <c r="G55" s="11"/>
      <c r="H55" s="11"/>
      <c r="I55" s="11"/>
      <c r="J55" s="11"/>
    </row>
    <row r="56" ht="15.75" customHeight="1">
      <c r="A56" s="11"/>
      <c r="B56" s="12"/>
      <c r="C56" s="11"/>
      <c r="D56" s="11"/>
      <c r="E56" s="11"/>
      <c r="F56" s="11"/>
      <c r="G56" s="11"/>
      <c r="H56" s="11"/>
      <c r="I56" s="11"/>
      <c r="J56" s="11"/>
    </row>
    <row r="57" ht="15.75" customHeight="1">
      <c r="A57" s="11"/>
      <c r="B57" s="12"/>
      <c r="C57" s="11"/>
      <c r="D57" s="11"/>
      <c r="E57" s="11"/>
      <c r="F57" s="11"/>
      <c r="G57" s="11"/>
      <c r="H57" s="11"/>
      <c r="I57" s="11"/>
      <c r="J57" s="11"/>
    </row>
    <row r="58" ht="15.75" customHeight="1">
      <c r="A58" s="11"/>
      <c r="B58" s="12"/>
      <c r="C58" s="11"/>
      <c r="D58" s="11"/>
      <c r="E58" s="11"/>
      <c r="F58" s="11"/>
      <c r="G58" s="11"/>
      <c r="H58" s="11"/>
      <c r="I58" s="11"/>
      <c r="J58" s="11"/>
    </row>
    <row r="59" ht="15.75" customHeight="1">
      <c r="A59" s="11"/>
      <c r="B59" s="12"/>
      <c r="C59" s="11"/>
      <c r="D59" s="11"/>
      <c r="E59" s="11"/>
      <c r="F59" s="11"/>
      <c r="G59" s="11"/>
      <c r="H59" s="11"/>
      <c r="I59" s="11"/>
      <c r="J59" s="11"/>
    </row>
    <row r="60" ht="15.75" customHeight="1">
      <c r="A60" s="11"/>
      <c r="B60" s="12"/>
      <c r="C60" s="11"/>
      <c r="D60" s="11"/>
      <c r="E60" s="11"/>
      <c r="F60" s="11"/>
      <c r="G60" s="11"/>
      <c r="H60" s="11"/>
      <c r="I60" s="11"/>
      <c r="J60" s="11"/>
    </row>
    <row r="61" ht="15.75" customHeight="1">
      <c r="A61" s="11"/>
      <c r="B61" s="12"/>
      <c r="C61" s="11"/>
      <c r="D61" s="11"/>
      <c r="E61" s="11"/>
      <c r="F61" s="11"/>
      <c r="G61" s="11"/>
      <c r="H61" s="11"/>
      <c r="I61" s="11"/>
      <c r="J61" s="11"/>
    </row>
    <row r="62" ht="15.75" customHeight="1">
      <c r="A62" s="11"/>
      <c r="B62" s="12"/>
      <c r="C62" s="11"/>
      <c r="D62" s="11"/>
      <c r="E62" s="11"/>
      <c r="F62" s="11"/>
      <c r="G62" s="11"/>
      <c r="H62" s="11"/>
      <c r="I62" s="11"/>
      <c r="J62" s="11"/>
    </row>
    <row r="63" ht="15.75" customHeight="1">
      <c r="A63" s="11"/>
      <c r="B63" s="12"/>
      <c r="C63" s="11"/>
      <c r="D63" s="11"/>
      <c r="E63" s="11"/>
      <c r="F63" s="11"/>
      <c r="G63" s="11"/>
      <c r="H63" s="11"/>
      <c r="I63" s="11"/>
      <c r="J63" s="11"/>
    </row>
    <row r="64" ht="15.75" customHeight="1">
      <c r="A64" s="11"/>
      <c r="B64" s="12"/>
      <c r="C64" s="11"/>
      <c r="D64" s="11"/>
      <c r="E64" s="11"/>
      <c r="F64" s="11"/>
      <c r="G64" s="11"/>
      <c r="H64" s="11"/>
      <c r="I64" s="11"/>
      <c r="J64" s="11"/>
    </row>
    <row r="65" ht="15.75" customHeight="1">
      <c r="A65" s="11"/>
      <c r="B65" s="12"/>
      <c r="C65" s="11"/>
      <c r="D65" s="11"/>
      <c r="E65" s="11"/>
      <c r="F65" s="11"/>
      <c r="G65" s="11"/>
      <c r="H65" s="11"/>
      <c r="I65" s="11"/>
      <c r="J65" s="11"/>
    </row>
    <row r="66" ht="15.75" customHeight="1">
      <c r="A66" s="11"/>
      <c r="B66" s="12"/>
      <c r="C66" s="11"/>
      <c r="D66" s="11"/>
      <c r="E66" s="11"/>
      <c r="F66" s="11"/>
      <c r="G66" s="11"/>
      <c r="H66" s="11"/>
      <c r="I66" s="11"/>
      <c r="J66" s="11"/>
    </row>
    <row r="67" ht="15.75" customHeight="1">
      <c r="A67" s="11"/>
      <c r="B67" s="12"/>
      <c r="C67" s="11"/>
      <c r="D67" s="11"/>
      <c r="E67" s="11"/>
      <c r="F67" s="11"/>
      <c r="G67" s="11"/>
      <c r="H67" s="11"/>
      <c r="I67" s="11"/>
      <c r="J67" s="11"/>
    </row>
    <row r="68" ht="15.75" customHeight="1">
      <c r="A68" s="11"/>
      <c r="B68" s="12"/>
      <c r="C68" s="11"/>
      <c r="D68" s="11"/>
      <c r="E68" s="11"/>
      <c r="F68" s="11"/>
      <c r="G68" s="11"/>
      <c r="H68" s="11"/>
      <c r="I68" s="11"/>
      <c r="J68" s="11"/>
    </row>
    <row r="69" ht="15.75" customHeight="1">
      <c r="A69" s="11"/>
      <c r="B69" s="12"/>
      <c r="C69" s="11"/>
      <c r="D69" s="11"/>
      <c r="E69" s="11"/>
      <c r="F69" s="11"/>
      <c r="G69" s="11"/>
      <c r="H69" s="11"/>
      <c r="I69" s="11"/>
      <c r="J69" s="11"/>
    </row>
    <row r="70" ht="15.75" customHeight="1">
      <c r="A70" s="11"/>
      <c r="B70" s="12"/>
      <c r="C70" s="11"/>
      <c r="D70" s="11"/>
      <c r="E70" s="11"/>
      <c r="F70" s="11"/>
      <c r="G70" s="11"/>
      <c r="H70" s="11"/>
      <c r="I70" s="11"/>
      <c r="J70" s="11"/>
    </row>
    <row r="71" ht="15.75" customHeight="1">
      <c r="A71" s="11"/>
      <c r="B71" s="12"/>
      <c r="C71" s="11"/>
      <c r="D71" s="11"/>
      <c r="E71" s="11"/>
      <c r="F71" s="11"/>
      <c r="G71" s="11"/>
      <c r="H71" s="11"/>
      <c r="I71" s="11"/>
      <c r="J71" s="11"/>
    </row>
    <row r="72" ht="15.75" customHeight="1">
      <c r="A72" s="11"/>
      <c r="B72" s="12"/>
      <c r="C72" s="11"/>
      <c r="D72" s="11"/>
      <c r="E72" s="11"/>
      <c r="F72" s="11"/>
      <c r="G72" s="11"/>
      <c r="H72" s="11"/>
      <c r="I72" s="11"/>
      <c r="J72" s="11"/>
    </row>
    <row r="73" ht="15.75" customHeight="1">
      <c r="A73" s="11"/>
      <c r="B73" s="12"/>
      <c r="C73" s="11"/>
      <c r="D73" s="11"/>
      <c r="E73" s="11"/>
      <c r="F73" s="11"/>
      <c r="G73" s="11"/>
      <c r="H73" s="11"/>
      <c r="I73" s="11"/>
      <c r="J73" s="11"/>
    </row>
    <row r="74" ht="15.75" customHeight="1">
      <c r="A74" s="11"/>
      <c r="B74" s="12"/>
      <c r="C74" s="11"/>
      <c r="D74" s="11"/>
      <c r="E74" s="11"/>
      <c r="F74" s="11"/>
      <c r="G74" s="11"/>
      <c r="H74" s="11"/>
      <c r="I74" s="11"/>
      <c r="J74" s="11"/>
    </row>
    <row r="75" ht="15.75" customHeight="1">
      <c r="A75" s="11"/>
      <c r="B75" s="12"/>
      <c r="C75" s="11"/>
      <c r="D75" s="11"/>
      <c r="E75" s="11"/>
      <c r="F75" s="11"/>
      <c r="G75" s="11"/>
      <c r="H75" s="11"/>
      <c r="I75" s="11"/>
      <c r="J75" s="11"/>
    </row>
    <row r="76" ht="15.75" customHeight="1">
      <c r="A76" s="11"/>
      <c r="B76" s="12"/>
      <c r="C76" s="11"/>
      <c r="D76" s="11"/>
      <c r="E76" s="11"/>
      <c r="F76" s="11"/>
      <c r="G76" s="11"/>
      <c r="H76" s="11"/>
      <c r="I76" s="11"/>
      <c r="J76" s="11"/>
    </row>
    <row r="77" ht="15.75" customHeight="1">
      <c r="A77" s="11"/>
      <c r="B77" s="12"/>
      <c r="C77" s="11"/>
      <c r="D77" s="11"/>
      <c r="E77" s="11"/>
      <c r="F77" s="11"/>
      <c r="G77" s="11"/>
      <c r="H77" s="11"/>
      <c r="I77" s="11"/>
      <c r="J77" s="11"/>
    </row>
    <row r="78" ht="15.75" customHeight="1">
      <c r="A78" s="11"/>
      <c r="B78" s="12"/>
      <c r="C78" s="11"/>
      <c r="D78" s="11"/>
      <c r="E78" s="11"/>
      <c r="F78" s="11"/>
      <c r="G78" s="11"/>
      <c r="H78" s="11"/>
      <c r="I78" s="11"/>
      <c r="J78" s="11"/>
    </row>
    <row r="79" ht="15.75" customHeight="1">
      <c r="A79" s="11"/>
      <c r="B79" s="12"/>
      <c r="C79" s="11"/>
      <c r="D79" s="11"/>
      <c r="E79" s="11"/>
      <c r="F79" s="11"/>
      <c r="G79" s="11"/>
      <c r="H79" s="11"/>
      <c r="I79" s="11"/>
      <c r="J79" s="11"/>
    </row>
    <row r="80" ht="15.75" customHeight="1">
      <c r="A80" s="11"/>
      <c r="B80" s="12"/>
      <c r="C80" s="11"/>
      <c r="D80" s="11"/>
      <c r="E80" s="11"/>
      <c r="F80" s="11"/>
      <c r="G80" s="11"/>
      <c r="H80" s="11"/>
      <c r="I80" s="11"/>
      <c r="J80" s="11"/>
    </row>
    <row r="81" ht="15.75" customHeight="1">
      <c r="A81" s="11"/>
      <c r="B81" s="12"/>
      <c r="C81" s="11"/>
      <c r="D81" s="11"/>
      <c r="E81" s="11"/>
      <c r="F81" s="11"/>
      <c r="G81" s="11"/>
      <c r="H81" s="11"/>
      <c r="I81" s="11"/>
      <c r="J81" s="11"/>
    </row>
    <row r="82" ht="15.75" customHeight="1">
      <c r="A82" s="11"/>
      <c r="B82" s="12"/>
      <c r="C82" s="11"/>
      <c r="D82" s="11"/>
      <c r="E82" s="11"/>
      <c r="F82" s="11"/>
      <c r="G82" s="11"/>
      <c r="H82" s="11"/>
      <c r="I82" s="11"/>
      <c r="J82" s="11"/>
    </row>
    <row r="83" ht="15.75" customHeight="1">
      <c r="A83" s="11"/>
      <c r="B83" s="12"/>
      <c r="C83" s="11"/>
      <c r="D83" s="11"/>
      <c r="E83" s="11"/>
      <c r="F83" s="11"/>
      <c r="G83" s="11"/>
      <c r="H83" s="11"/>
      <c r="I83" s="11"/>
      <c r="J83" s="11"/>
    </row>
    <row r="84" ht="15.75" customHeight="1">
      <c r="A84" s="11"/>
      <c r="B84" s="12"/>
      <c r="C84" s="11"/>
      <c r="D84" s="11"/>
      <c r="E84" s="11"/>
      <c r="F84" s="11"/>
      <c r="G84" s="11"/>
      <c r="H84" s="11"/>
      <c r="I84" s="11"/>
      <c r="J84" s="11"/>
    </row>
    <row r="85" ht="15.75" customHeight="1">
      <c r="A85" s="11"/>
      <c r="B85" s="12"/>
      <c r="C85" s="11"/>
      <c r="D85" s="11"/>
      <c r="E85" s="11"/>
      <c r="F85" s="11"/>
      <c r="G85" s="11"/>
      <c r="H85" s="11"/>
      <c r="I85" s="11"/>
      <c r="J85" s="11"/>
    </row>
    <row r="86" ht="15.75" customHeight="1">
      <c r="A86" s="11"/>
      <c r="B86" s="12"/>
      <c r="C86" s="11"/>
      <c r="D86" s="11"/>
      <c r="E86" s="11"/>
      <c r="F86" s="11"/>
      <c r="G86" s="11"/>
      <c r="H86" s="11"/>
      <c r="I86" s="11"/>
      <c r="J86" s="11"/>
    </row>
    <row r="87" ht="15.75" customHeight="1">
      <c r="A87" s="11"/>
      <c r="B87" s="12"/>
      <c r="C87" s="11"/>
      <c r="D87" s="11"/>
      <c r="E87" s="11"/>
      <c r="F87" s="11"/>
      <c r="G87" s="11"/>
      <c r="H87" s="11"/>
      <c r="I87" s="11"/>
      <c r="J87" s="11"/>
    </row>
    <row r="88" ht="15.75" customHeight="1">
      <c r="A88" s="11"/>
      <c r="B88" s="12"/>
      <c r="C88" s="11"/>
      <c r="D88" s="11"/>
      <c r="E88" s="11"/>
      <c r="F88" s="11"/>
      <c r="G88" s="11"/>
      <c r="H88" s="11"/>
      <c r="I88" s="11"/>
      <c r="J88" s="11"/>
    </row>
    <row r="89" ht="15.75" customHeight="1">
      <c r="A89" s="11"/>
      <c r="B89" s="12"/>
      <c r="C89" s="11"/>
      <c r="D89" s="11"/>
      <c r="E89" s="11"/>
      <c r="F89" s="11"/>
      <c r="G89" s="11"/>
      <c r="H89" s="11"/>
      <c r="I89" s="11"/>
      <c r="J89" s="11"/>
    </row>
    <row r="90" ht="15.75" customHeight="1">
      <c r="A90" s="11"/>
      <c r="B90" s="12"/>
      <c r="C90" s="11"/>
      <c r="D90" s="11"/>
      <c r="E90" s="11"/>
      <c r="F90" s="11"/>
      <c r="G90" s="11"/>
      <c r="H90" s="11"/>
      <c r="I90" s="11"/>
      <c r="J90" s="11"/>
    </row>
    <row r="91" ht="15.75" customHeight="1">
      <c r="A91" s="11"/>
      <c r="B91" s="12"/>
      <c r="C91" s="11"/>
      <c r="D91" s="11"/>
      <c r="E91" s="11"/>
      <c r="F91" s="11"/>
      <c r="G91" s="11"/>
      <c r="H91" s="11"/>
      <c r="I91" s="11"/>
      <c r="J91" s="11"/>
    </row>
    <row r="92" ht="15.75" customHeight="1">
      <c r="A92" s="11"/>
      <c r="B92" s="12"/>
      <c r="C92" s="11"/>
      <c r="D92" s="11"/>
      <c r="E92" s="11"/>
      <c r="F92" s="11"/>
      <c r="G92" s="11"/>
      <c r="H92" s="11"/>
      <c r="I92" s="11"/>
      <c r="J92" s="11"/>
    </row>
    <row r="93" ht="15.75" customHeight="1">
      <c r="A93" s="11"/>
      <c r="B93" s="12"/>
      <c r="C93" s="11"/>
      <c r="D93" s="11"/>
      <c r="E93" s="11"/>
      <c r="F93" s="11"/>
      <c r="G93" s="11"/>
      <c r="H93" s="11"/>
      <c r="I93" s="11"/>
      <c r="J93" s="11"/>
    </row>
    <row r="94" ht="15.75" customHeight="1">
      <c r="A94" s="11"/>
      <c r="B94" s="12"/>
      <c r="C94" s="11"/>
      <c r="D94" s="11"/>
      <c r="E94" s="11"/>
      <c r="F94" s="11"/>
      <c r="G94" s="11"/>
      <c r="H94" s="11"/>
      <c r="I94" s="11"/>
      <c r="J94" s="11"/>
    </row>
    <row r="95" ht="15.75" customHeight="1">
      <c r="A95" s="11"/>
      <c r="B95" s="12"/>
      <c r="C95" s="11"/>
      <c r="D95" s="11"/>
      <c r="E95" s="11"/>
      <c r="F95" s="11"/>
      <c r="G95" s="11"/>
      <c r="H95" s="11"/>
      <c r="I95" s="11"/>
      <c r="J95" s="11"/>
    </row>
    <row r="96" ht="15.75" customHeight="1">
      <c r="A96" s="11"/>
      <c r="B96" s="12"/>
      <c r="C96" s="11"/>
      <c r="D96" s="11"/>
      <c r="E96" s="11"/>
      <c r="F96" s="11"/>
      <c r="G96" s="11"/>
      <c r="H96" s="11"/>
      <c r="I96" s="11"/>
      <c r="J96" s="11"/>
    </row>
    <row r="97" ht="15.75" customHeight="1">
      <c r="A97" s="11"/>
      <c r="B97" s="12"/>
      <c r="C97" s="11"/>
      <c r="D97" s="11"/>
      <c r="E97" s="11"/>
      <c r="F97" s="11"/>
      <c r="G97" s="11"/>
      <c r="H97" s="11"/>
      <c r="I97" s="11"/>
      <c r="J97" s="11"/>
    </row>
    <row r="98" ht="15.75" customHeight="1">
      <c r="A98" s="11"/>
      <c r="B98" s="12"/>
      <c r="C98" s="11"/>
      <c r="D98" s="11"/>
      <c r="E98" s="11"/>
      <c r="F98" s="11"/>
      <c r="G98" s="11"/>
      <c r="H98" s="11"/>
      <c r="I98" s="11"/>
      <c r="J98" s="11"/>
    </row>
    <row r="99" ht="15.75" customHeight="1">
      <c r="A99" s="11"/>
      <c r="B99" s="12"/>
      <c r="C99" s="11"/>
      <c r="D99" s="11"/>
      <c r="E99" s="11"/>
      <c r="F99" s="11"/>
      <c r="G99" s="11"/>
      <c r="H99" s="11"/>
      <c r="I99" s="11"/>
      <c r="J99" s="11"/>
    </row>
    <row r="100" ht="15.75" customHeight="1">
      <c r="A100" s="11"/>
      <c r="B100" s="12"/>
      <c r="C100" s="11"/>
      <c r="D100" s="11"/>
      <c r="E100" s="11"/>
      <c r="F100" s="11"/>
      <c r="G100" s="11"/>
      <c r="H100" s="11"/>
      <c r="I100" s="11"/>
      <c r="J100" s="1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100">
      <formula1>"Yes,No"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1.75"/>
    <col customWidth="1" min="2" max="2" width="5.75"/>
    <col customWidth="1" min="3" max="3" width="27.63"/>
    <col customWidth="1" min="4" max="4" width="15.88"/>
    <col customWidth="1" min="5" max="5" width="14.38"/>
    <col customWidth="1" min="6" max="6" width="5.75"/>
    <col customWidth="1" min="7" max="7" width="15.5"/>
    <col customWidth="1" min="8" max="8" width="5.75"/>
    <col customWidth="1" min="9" max="26" width="8.63"/>
  </cols>
  <sheetData>
    <row r="1" ht="33.75" customHeight="1">
      <c r="A1" s="13" t="s">
        <v>202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4"/>
      <c r="B2" s="14"/>
      <c r="C2" s="14"/>
      <c r="D2" s="14"/>
      <c r="E2" s="14"/>
      <c r="F2" s="14"/>
      <c r="G2" s="14"/>
      <c r="H2" s="1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203</v>
      </c>
      <c r="B3" s="5" t="s">
        <v>204</v>
      </c>
      <c r="C3" s="15"/>
      <c r="D3" s="5" t="s">
        <v>205</v>
      </c>
      <c r="E3" s="5" t="s">
        <v>206</v>
      </c>
      <c r="F3" s="16"/>
      <c r="G3" s="5" t="s">
        <v>207</v>
      </c>
      <c r="H3" s="5" t="s">
        <v>206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4" t="s">
        <v>208</v>
      </c>
      <c r="B4" s="14">
        <f>COUNTA('Audit Leads'!C2:C201)</f>
        <v>1</v>
      </c>
      <c r="C4" s="14"/>
      <c r="D4" s="14" t="s">
        <v>209</v>
      </c>
      <c r="E4" s="14" t="str">
        <f>COUNTIF('Audit Leads'!AE2:AE201,D4)</f>
        <v>#REF!</v>
      </c>
      <c r="F4" s="14"/>
      <c r="G4" s="14" t="s">
        <v>139</v>
      </c>
      <c r="H4" s="14" t="str">
        <f>COUNTIF('Audit Leads'!AG2:AG201,G4)</f>
        <v>#REF!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" t="s">
        <v>210</v>
      </c>
      <c r="B5" s="14" t="str">
        <f>COUNTIF('Audit Leads'!AG2:AG201,"Hot")</f>
        <v>#REF!</v>
      </c>
      <c r="C5" s="14"/>
      <c r="D5" s="14" t="s">
        <v>211</v>
      </c>
      <c r="E5" s="14" t="str">
        <f>COUNTIF('Audit Leads'!AE2:AE201,D5)</f>
        <v>#REF!</v>
      </c>
      <c r="F5" s="14"/>
      <c r="G5" s="14" t="s">
        <v>145</v>
      </c>
      <c r="H5" s="14" t="str">
        <f>COUNTIF('Audit Leads'!AG2:AG201,G5)</f>
        <v>#REF!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4" t="s">
        <v>212</v>
      </c>
      <c r="B6" s="14" t="str">
        <f>COUNTIF('Audit Leads'!AG2:AG201,"Warm")</f>
        <v>#REF!</v>
      </c>
      <c r="C6" s="14"/>
      <c r="D6" s="14" t="s">
        <v>213</v>
      </c>
      <c r="E6" s="14" t="str">
        <f>COUNTIF('Audit Leads'!AE2:AE201,D6)</f>
        <v>#REF!</v>
      </c>
      <c r="F6" s="14"/>
      <c r="G6" s="14" t="s">
        <v>151</v>
      </c>
      <c r="H6" s="14" t="str">
        <f>COUNTIF('Audit Leads'!AG2:AG201,G6)</f>
        <v>#REF!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4" t="s">
        <v>214</v>
      </c>
      <c r="B7" s="14" t="str">
        <f>COUNTIF('Audit Leads'!AE2:AE201,"Discovery Scheduled")</f>
        <v>#REF!</v>
      </c>
      <c r="C7" s="14"/>
      <c r="D7" s="14" t="s">
        <v>214</v>
      </c>
      <c r="E7" s="14" t="str">
        <f>COUNTIF('Audit Leads'!AE2:AE201,D7)</f>
        <v>#REF!</v>
      </c>
      <c r="F7" s="14"/>
      <c r="G7" s="14" t="s">
        <v>215</v>
      </c>
      <c r="H7" s="14" t="str">
        <f>COUNTIF('Audit Leads'!AG2:AG201,G7)</f>
        <v>#REF!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" t="s">
        <v>216</v>
      </c>
      <c r="B8" s="14" t="str">
        <f>COUNTIF('Audit Leads'!AE2:AE201,"Proposal Sent")</f>
        <v>#REF!</v>
      </c>
      <c r="C8" s="14"/>
      <c r="D8" s="14" t="s">
        <v>216</v>
      </c>
      <c r="E8" s="14" t="str">
        <f>COUNTIF('Audit Leads'!AE2:AE201,D8)</f>
        <v>#REF!</v>
      </c>
      <c r="F8" s="14"/>
      <c r="G8" s="14"/>
      <c r="H8" s="1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 t="s">
        <v>217</v>
      </c>
      <c r="B9" s="14" t="str">
        <f>COUNTIF('Audit Leads'!AE2:AE201,"Won")</f>
        <v>#REF!</v>
      </c>
      <c r="C9" s="14"/>
      <c r="D9" s="14" t="s">
        <v>217</v>
      </c>
      <c r="E9" s="14" t="str">
        <f>COUNTIF('Audit Leads'!AE2:AE201,D9)</f>
        <v>#REF!</v>
      </c>
      <c r="F9" s="14"/>
      <c r="G9" s="14"/>
      <c r="H9" s="1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" t="s">
        <v>218</v>
      </c>
      <c r="B10" s="14" t="str">
        <f>COUNTIF('Audit Leads'!AE2:AE201,"Lost")</f>
        <v>#REF!</v>
      </c>
      <c r="C10" s="14"/>
      <c r="D10" s="14" t="s">
        <v>218</v>
      </c>
      <c r="E10" s="14" t="str">
        <f>COUNTIF('Audit Leads'!AE2:AE201,D10)</f>
        <v>#REF!</v>
      </c>
      <c r="F10" s="14"/>
      <c r="G10" s="14"/>
      <c r="H10" s="1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" t="s">
        <v>219</v>
      </c>
      <c r="B11" s="14">
        <f>IFERROR(ROUND(AVERAGEIF('Audit Leads'!AF2:AF201,"&gt;0",'Audit Leads'!AF2:AF201),0),0)</f>
        <v>0</v>
      </c>
      <c r="C11" s="14"/>
      <c r="D11" s="14" t="s">
        <v>69</v>
      </c>
      <c r="E11" s="14" t="str">
        <f>COUNTIF('Audit Leads'!AE2:AE201,D11)</f>
        <v>#REF!</v>
      </c>
      <c r="F11" s="14"/>
      <c r="G11" s="14"/>
      <c r="H11" s="1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4"/>
      <c r="B12" s="14"/>
      <c r="C12" s="14"/>
      <c r="D12" s="14"/>
      <c r="E12" s="14"/>
      <c r="F12" s="14"/>
      <c r="G12" s="14"/>
      <c r="H12" s="1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4"/>
      <c r="B13" s="14"/>
      <c r="C13" s="14"/>
      <c r="D13" s="14"/>
      <c r="E13" s="14"/>
      <c r="F13" s="14"/>
      <c r="G13" s="14"/>
      <c r="H13" s="1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220</v>
      </c>
      <c r="B14" s="5" t="s">
        <v>206</v>
      </c>
      <c r="C14" s="5" t="s">
        <v>221</v>
      </c>
      <c r="D14" s="17"/>
      <c r="E14" s="5" t="s">
        <v>222</v>
      </c>
      <c r="F14" s="5" t="s">
        <v>206</v>
      </c>
      <c r="G14" s="5" t="s">
        <v>21</v>
      </c>
      <c r="H14" s="5" t="s">
        <v>206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4" t="s">
        <v>223</v>
      </c>
      <c r="B15" s="14">
        <f>SUMPRODUCT(--ISNUMBER(SEARCH("Manual data entry",'Audit Leads'!P2:P201)))</f>
        <v>0</v>
      </c>
      <c r="C15" s="14" t="s">
        <v>224</v>
      </c>
      <c r="D15" s="14"/>
      <c r="E15" s="14" t="s">
        <v>87</v>
      </c>
      <c r="F15" s="14" t="str">
        <f>COUNTIF('Audit Leads'!X2:X201,"Less than $300")</f>
        <v>#REF!</v>
      </c>
      <c r="G15" s="14" t="s">
        <v>225</v>
      </c>
      <c r="H15" s="14" t="str">
        <f>COUNTIF('Audit Leads'!W2:W201,"ASAP (&lt; 21 days)")</f>
        <v>#REF!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4" t="s">
        <v>226</v>
      </c>
      <c r="B16" s="14">
        <f>SUMPRODUCT(--ISNUMBER(SEARCH("Lead qualification",'Audit Leads'!P2:P201)))</f>
        <v>0</v>
      </c>
      <c r="C16" s="14" t="s">
        <v>227</v>
      </c>
      <c r="D16" s="14"/>
      <c r="E16" s="14" t="s">
        <v>82</v>
      </c>
      <c r="F16" s="14" t="str">
        <f>COUNTIF('Audit Leads'!X2:X201,"$300 – $1,000")</f>
        <v>#REF!</v>
      </c>
      <c r="G16" s="14" t="s">
        <v>228</v>
      </c>
      <c r="H16" s="14" t="str">
        <f>COUNTIF('Audit Leads'!W2:W201,"1-3 months")</f>
        <v>#REF!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4" t="s">
        <v>229</v>
      </c>
      <c r="B17" s="14">
        <f>SUMPRODUCT(--ISNUMBER(SEARCH("Slow customer support",'Audit Leads'!P2:P201)))</f>
        <v>0</v>
      </c>
      <c r="C17" s="14" t="s">
        <v>230</v>
      </c>
      <c r="D17" s="14"/>
      <c r="E17" s="14" t="s">
        <v>68</v>
      </c>
      <c r="F17" s="14" t="str">
        <f>COUNTIF('Audit Leads'!X2:X201,"$1,000 – $2,000")</f>
        <v>#REF!</v>
      </c>
      <c r="G17" s="14" t="s">
        <v>231</v>
      </c>
      <c r="H17" s="14" t="str">
        <f>COUNTIF('Audit Leads'!W2:W201,"We are Flexible at timeline")</f>
        <v>#REF!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4" t="s">
        <v>232</v>
      </c>
      <c r="B18" s="14">
        <f>SUMPRODUCT(--ISNUMBER(SEARCH("Repetitive reporting",'Audit Leads'!P2:P201)))</f>
        <v>0</v>
      </c>
      <c r="C18" s="14" t="s">
        <v>233</v>
      </c>
      <c r="D18" s="14"/>
      <c r="E18" s="14" t="s">
        <v>59</v>
      </c>
      <c r="F18" s="14" t="str">
        <f>COUNTIF('Audit Leads'!X2:X201,"$2,000 – $6,000")</f>
        <v>#REF!</v>
      </c>
      <c r="G18" s="14" t="s">
        <v>234</v>
      </c>
      <c r="H18" s="14" t="str">
        <f>COUNTIF('Audit Leads'!W2:W201,"Just exploring")</f>
        <v>#REF!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4" t="s">
        <v>235</v>
      </c>
      <c r="B19" s="14">
        <f>SUMPRODUCT(--ISNUMBER(SEARCH("Document processing",'Audit Leads'!P2:P201)))</f>
        <v>0</v>
      </c>
      <c r="C19" s="14" t="s">
        <v>236</v>
      </c>
      <c r="D19" s="14"/>
      <c r="E19" s="14" t="s">
        <v>74</v>
      </c>
      <c r="F19" s="14" t="str">
        <f>COUNTIF('Audit Leads'!X2:X201,"$6,000+")</f>
        <v>#REF!</v>
      </c>
      <c r="G19" s="14" t="s">
        <v>237</v>
      </c>
      <c r="H19" s="14" t="str">
        <f>COUNTIF('Audit Leads'!W2:W201,"Other:")</f>
        <v>#REF!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4" t="s">
        <v>238</v>
      </c>
      <c r="B20" s="14">
        <f>SUMPRODUCT(--ISNUMBER(SEARCH("Inventory",'Audit Leads'!P2:P201)))</f>
        <v>0</v>
      </c>
      <c r="C20" s="14" t="s">
        <v>239</v>
      </c>
      <c r="D20" s="14"/>
      <c r="E20" s="14"/>
      <c r="F20" s="14"/>
      <c r="G20" s="14"/>
      <c r="H20" s="1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8.0"/>
    <col customWidth="1" min="3" max="26" width="8.63"/>
  </cols>
  <sheetData>
    <row r="1">
      <c r="A1" s="18" t="s">
        <v>240</v>
      </c>
      <c r="B1" s="18" t="s">
        <v>241</v>
      </c>
    </row>
    <row r="2">
      <c r="A2" s="11" t="s">
        <v>205</v>
      </c>
      <c r="B2" s="11" t="s">
        <v>209</v>
      </c>
    </row>
    <row r="3">
      <c r="A3" s="11" t="s">
        <v>205</v>
      </c>
      <c r="B3" s="11" t="s">
        <v>211</v>
      </c>
    </row>
    <row r="4">
      <c r="A4" s="11" t="s">
        <v>205</v>
      </c>
      <c r="B4" s="11" t="s">
        <v>213</v>
      </c>
    </row>
    <row r="5">
      <c r="A5" s="11" t="s">
        <v>205</v>
      </c>
      <c r="B5" s="11" t="s">
        <v>214</v>
      </c>
    </row>
    <row r="6">
      <c r="A6" s="11" t="s">
        <v>205</v>
      </c>
      <c r="B6" s="11" t="s">
        <v>242</v>
      </c>
    </row>
    <row r="7">
      <c r="A7" s="11" t="s">
        <v>205</v>
      </c>
      <c r="B7" s="11" t="s">
        <v>243</v>
      </c>
    </row>
    <row r="8">
      <c r="A8" s="11" t="s">
        <v>205</v>
      </c>
      <c r="B8" s="11" t="s">
        <v>216</v>
      </c>
    </row>
    <row r="9">
      <c r="A9" s="11" t="s">
        <v>205</v>
      </c>
      <c r="B9" s="11" t="s">
        <v>217</v>
      </c>
    </row>
    <row r="10">
      <c r="A10" s="11" t="s">
        <v>205</v>
      </c>
      <c r="B10" s="11" t="s">
        <v>218</v>
      </c>
    </row>
    <row r="11">
      <c r="A11" s="11" t="s">
        <v>205</v>
      </c>
      <c r="B11" s="11" t="s">
        <v>69</v>
      </c>
    </row>
    <row r="12">
      <c r="A12" s="11" t="s">
        <v>205</v>
      </c>
      <c r="B12" s="11" t="s">
        <v>244</v>
      </c>
    </row>
    <row r="13">
      <c r="A13" s="11" t="s">
        <v>245</v>
      </c>
      <c r="B13" s="11" t="s">
        <v>60</v>
      </c>
    </row>
    <row r="14">
      <c r="A14" s="11" t="s">
        <v>245</v>
      </c>
      <c r="B14" s="11" t="s">
        <v>58</v>
      </c>
    </row>
    <row r="15">
      <c r="A15" s="11" t="s">
        <v>245</v>
      </c>
      <c r="B15" s="11" t="s">
        <v>81</v>
      </c>
    </row>
    <row r="16">
      <c r="A16" s="11" t="s">
        <v>207</v>
      </c>
      <c r="B16" s="11" t="s">
        <v>139</v>
      </c>
    </row>
    <row r="17">
      <c r="A17" s="11" t="s">
        <v>207</v>
      </c>
      <c r="B17" s="11" t="s">
        <v>145</v>
      </c>
    </row>
    <row r="18">
      <c r="A18" s="11" t="s">
        <v>207</v>
      </c>
      <c r="B18" s="11" t="s">
        <v>151</v>
      </c>
    </row>
    <row r="19">
      <c r="A19" s="11" t="s">
        <v>207</v>
      </c>
      <c r="B19" s="11" t="s">
        <v>215</v>
      </c>
    </row>
    <row r="20">
      <c r="A20" s="11" t="s">
        <v>246</v>
      </c>
      <c r="B20" s="11" t="s">
        <v>247</v>
      </c>
    </row>
    <row r="21" ht="15.75" customHeight="1">
      <c r="A21" s="11" t="s">
        <v>246</v>
      </c>
      <c r="B21" s="11" t="s">
        <v>248</v>
      </c>
    </row>
    <row r="22" ht="15.75" customHeight="1">
      <c r="A22" s="11" t="s">
        <v>246</v>
      </c>
      <c r="B22" s="11" t="s">
        <v>249</v>
      </c>
    </row>
    <row r="23" ht="15.75" customHeight="1">
      <c r="A23" s="11" t="s">
        <v>246</v>
      </c>
      <c r="B23" s="11" t="s">
        <v>250</v>
      </c>
    </row>
    <row r="24" ht="15.75" customHeight="1">
      <c r="A24" s="11" t="s">
        <v>246</v>
      </c>
      <c r="B24" s="11" t="s">
        <v>251</v>
      </c>
    </row>
    <row r="25" ht="15.75" customHeight="1">
      <c r="A25" s="11" t="s">
        <v>246</v>
      </c>
      <c r="B25" s="11" t="s">
        <v>252</v>
      </c>
    </row>
    <row r="26" ht="15.75" customHeight="1">
      <c r="A26" s="11" t="s">
        <v>253</v>
      </c>
      <c r="B26" s="11" t="s">
        <v>254</v>
      </c>
    </row>
    <row r="27" ht="15.75" customHeight="1">
      <c r="A27" s="11" t="s">
        <v>253</v>
      </c>
      <c r="B27" s="11" t="s">
        <v>255</v>
      </c>
    </row>
    <row r="28" ht="15.75" customHeight="1">
      <c r="A28" s="11" t="s">
        <v>253</v>
      </c>
      <c r="B28" s="11" t="s">
        <v>256</v>
      </c>
    </row>
    <row r="29" ht="15.75" customHeight="1">
      <c r="A29" s="11" t="s">
        <v>253</v>
      </c>
      <c r="B29" s="11" t="s">
        <v>257</v>
      </c>
    </row>
    <row r="30" ht="15.75" customHeight="1">
      <c r="A30" s="11" t="s">
        <v>253</v>
      </c>
      <c r="B30" s="11" t="s">
        <v>258</v>
      </c>
    </row>
    <row r="31" ht="15.75" customHeight="1">
      <c r="A31" s="11" t="s">
        <v>259</v>
      </c>
      <c r="B31" s="11" t="s">
        <v>260</v>
      </c>
    </row>
    <row r="32" ht="15.75" customHeight="1">
      <c r="A32" s="11" t="s">
        <v>259</v>
      </c>
      <c r="B32" s="11" t="s">
        <v>261</v>
      </c>
    </row>
    <row r="33" ht="15.75" customHeight="1">
      <c r="A33" s="11" t="s">
        <v>259</v>
      </c>
      <c r="B33" s="11" t="s">
        <v>255</v>
      </c>
    </row>
    <row r="34" ht="15.75" customHeight="1">
      <c r="A34" s="11" t="s">
        <v>259</v>
      </c>
      <c r="B34" s="11" t="s">
        <v>262</v>
      </c>
    </row>
    <row r="35" ht="15.75" customHeight="1">
      <c r="A35" s="11" t="s">
        <v>259</v>
      </c>
      <c r="B35" s="11" t="s">
        <v>263</v>
      </c>
    </row>
    <row r="36" ht="15.75" customHeight="1">
      <c r="A36" s="11" t="s">
        <v>259</v>
      </c>
      <c r="B36" s="11" t="s">
        <v>264</v>
      </c>
    </row>
    <row r="37" ht="15.75" customHeight="1">
      <c r="A37" s="11" t="s">
        <v>265</v>
      </c>
      <c r="B37" s="11" t="s">
        <v>266</v>
      </c>
    </row>
    <row r="38" ht="15.75" customHeight="1">
      <c r="A38" s="11" t="s">
        <v>265</v>
      </c>
      <c r="B38" s="11" t="s">
        <v>267</v>
      </c>
    </row>
    <row r="39" ht="15.75" customHeight="1">
      <c r="A39" s="11" t="s">
        <v>265</v>
      </c>
      <c r="B39" s="11" t="s">
        <v>268</v>
      </c>
    </row>
    <row r="40" ht="15.75" customHeight="1">
      <c r="A40" s="11" t="s">
        <v>265</v>
      </c>
      <c r="B40" s="11" t="s">
        <v>269</v>
      </c>
    </row>
    <row r="41" ht="15.75" customHeight="1">
      <c r="A41" s="11" t="s">
        <v>265</v>
      </c>
      <c r="B41" s="11" t="s">
        <v>270</v>
      </c>
    </row>
    <row r="42" ht="15.75" customHeight="1">
      <c r="A42" s="11" t="s">
        <v>271</v>
      </c>
      <c r="B42" s="11" t="s">
        <v>272</v>
      </c>
    </row>
    <row r="43" ht="15.75" customHeight="1">
      <c r="A43" s="11" t="s">
        <v>271</v>
      </c>
      <c r="B43" s="11" t="s">
        <v>273</v>
      </c>
    </row>
    <row r="44" ht="15.75" customHeight="1">
      <c r="A44" s="11" t="s">
        <v>271</v>
      </c>
      <c r="B44" s="11" t="s">
        <v>274</v>
      </c>
    </row>
    <row r="45" ht="15.75" customHeight="1">
      <c r="A45" s="11" t="s">
        <v>271</v>
      </c>
      <c r="B45" s="11" t="s">
        <v>275</v>
      </c>
    </row>
    <row r="46" ht="15.75" customHeight="1">
      <c r="A46" s="11" t="s">
        <v>271</v>
      </c>
      <c r="B46" s="11" t="s">
        <v>276</v>
      </c>
    </row>
    <row r="47" ht="15.75" customHeight="1">
      <c r="A47" s="11" t="s">
        <v>271</v>
      </c>
      <c r="B47" s="11" t="s">
        <v>277</v>
      </c>
    </row>
    <row r="48" ht="15.75" customHeight="1">
      <c r="A48" s="11" t="s">
        <v>271</v>
      </c>
      <c r="B48" s="11" t="s">
        <v>278</v>
      </c>
    </row>
    <row r="49" ht="15.75" customHeight="1">
      <c r="A49" s="11" t="s">
        <v>271</v>
      </c>
      <c r="B49" s="11" t="s">
        <v>279</v>
      </c>
    </row>
    <row r="50" ht="15.75" customHeight="1">
      <c r="A50" s="11" t="s">
        <v>280</v>
      </c>
      <c r="B50" s="11" t="s">
        <v>281</v>
      </c>
    </row>
    <row r="51" ht="15.75" customHeight="1">
      <c r="A51" s="11" t="s">
        <v>280</v>
      </c>
      <c r="B51" s="11" t="s">
        <v>282</v>
      </c>
    </row>
    <row r="52" ht="15.75" customHeight="1">
      <c r="A52" s="11" t="s">
        <v>280</v>
      </c>
      <c r="B52" s="11" t="s">
        <v>283</v>
      </c>
    </row>
    <row r="53" ht="15.75" customHeight="1">
      <c r="A53" s="11" t="s">
        <v>280</v>
      </c>
      <c r="B53" s="11" t="s">
        <v>284</v>
      </c>
    </row>
    <row r="54" ht="15.75" customHeight="1">
      <c r="A54" s="11" t="s">
        <v>280</v>
      </c>
      <c r="B54" s="11" t="s">
        <v>285</v>
      </c>
    </row>
    <row r="55" ht="15.75" customHeight="1">
      <c r="A55" s="11" t="s">
        <v>280</v>
      </c>
      <c r="B55" s="11" t="s">
        <v>286</v>
      </c>
    </row>
    <row r="56" ht="15.75" customHeight="1">
      <c r="A56" s="11" t="s">
        <v>280</v>
      </c>
      <c r="B56" s="11" t="s">
        <v>279</v>
      </c>
    </row>
    <row r="57" ht="15.75" customHeight="1">
      <c r="A57" s="11" t="s">
        <v>287</v>
      </c>
      <c r="B57" s="11" t="s">
        <v>288</v>
      </c>
    </row>
    <row r="58" ht="15.75" customHeight="1">
      <c r="A58" s="11" t="s">
        <v>287</v>
      </c>
      <c r="B58" s="11" t="s">
        <v>289</v>
      </c>
    </row>
    <row r="59" ht="15.75" customHeight="1">
      <c r="A59" s="11" t="s">
        <v>287</v>
      </c>
      <c r="B59" s="11" t="s">
        <v>290</v>
      </c>
    </row>
    <row r="60" ht="15.75" customHeight="1">
      <c r="A60" s="11" t="s">
        <v>287</v>
      </c>
      <c r="B60" s="11" t="s">
        <v>291</v>
      </c>
    </row>
    <row r="61" ht="15.75" customHeight="1">
      <c r="A61" s="11" t="s">
        <v>287</v>
      </c>
      <c r="B61" s="11" t="s">
        <v>279</v>
      </c>
    </row>
    <row r="62" ht="15.75" customHeight="1">
      <c r="A62" s="11" t="s">
        <v>112</v>
      </c>
      <c r="B62" s="11" t="s">
        <v>292</v>
      </c>
    </row>
    <row r="63" ht="15.75" customHeight="1">
      <c r="A63" s="11" t="s">
        <v>112</v>
      </c>
      <c r="B63" s="11" t="s">
        <v>293</v>
      </c>
    </row>
    <row r="64" ht="15.75" customHeight="1">
      <c r="A64" s="11" t="s">
        <v>112</v>
      </c>
      <c r="B64" s="11" t="s">
        <v>294</v>
      </c>
    </row>
    <row r="65" ht="15.75" customHeight="1">
      <c r="A65" s="11" t="s">
        <v>112</v>
      </c>
      <c r="B65" s="11" t="s">
        <v>295</v>
      </c>
    </row>
    <row r="66" ht="15.75" customHeight="1">
      <c r="A66" s="11" t="s">
        <v>112</v>
      </c>
      <c r="B66" s="11" t="s">
        <v>279</v>
      </c>
    </row>
    <row r="67" ht="15.75" customHeight="1">
      <c r="A67" s="11" t="s">
        <v>21</v>
      </c>
      <c r="B67" s="11" t="s">
        <v>225</v>
      </c>
    </row>
    <row r="68" ht="15.75" customHeight="1">
      <c r="A68" s="11" t="s">
        <v>21</v>
      </c>
      <c r="B68" s="11" t="s">
        <v>228</v>
      </c>
    </row>
    <row r="69" ht="15.75" customHeight="1">
      <c r="A69" s="11" t="s">
        <v>21</v>
      </c>
      <c r="B69" s="11" t="s">
        <v>296</v>
      </c>
    </row>
    <row r="70" ht="15.75" customHeight="1">
      <c r="A70" s="11" t="s">
        <v>21</v>
      </c>
      <c r="B70" s="11" t="s">
        <v>234</v>
      </c>
    </row>
    <row r="71" ht="15.75" customHeight="1">
      <c r="A71" s="11" t="s">
        <v>21</v>
      </c>
      <c r="B71" s="11" t="s">
        <v>279</v>
      </c>
    </row>
    <row r="72" ht="15.75" customHeight="1">
      <c r="A72" s="11" t="s">
        <v>22</v>
      </c>
      <c r="B72" s="11" t="s">
        <v>87</v>
      </c>
    </row>
    <row r="73" ht="15.75" customHeight="1">
      <c r="A73" s="11" t="s">
        <v>22</v>
      </c>
      <c r="B73" s="11" t="s">
        <v>82</v>
      </c>
    </row>
    <row r="74" ht="15.75" customHeight="1">
      <c r="A74" s="11" t="s">
        <v>22</v>
      </c>
      <c r="B74" s="11" t="s">
        <v>68</v>
      </c>
    </row>
    <row r="75" ht="15.75" customHeight="1">
      <c r="A75" s="11" t="s">
        <v>22</v>
      </c>
      <c r="B75" s="11" t="s">
        <v>59</v>
      </c>
    </row>
    <row r="76" ht="15.75" customHeight="1">
      <c r="A76" s="11" t="s">
        <v>22</v>
      </c>
      <c r="B76" s="11" t="s">
        <v>74</v>
      </c>
    </row>
    <row r="77" ht="15.75" customHeight="1">
      <c r="A77" s="11" t="s">
        <v>22</v>
      </c>
      <c r="B77" s="11" t="s">
        <v>297</v>
      </c>
    </row>
    <row r="78" ht="15.75" customHeight="1">
      <c r="A78" s="11" t="s">
        <v>22</v>
      </c>
      <c r="B78" s="11" t="s">
        <v>298</v>
      </c>
    </row>
    <row r="79" ht="15.75" customHeight="1">
      <c r="A79" s="11" t="s">
        <v>22</v>
      </c>
      <c r="B79" s="11" t="s">
        <v>279</v>
      </c>
    </row>
    <row r="80" ht="15.75" customHeight="1">
      <c r="A80" s="11" t="s">
        <v>299</v>
      </c>
      <c r="B80" s="11" t="s">
        <v>300</v>
      </c>
    </row>
    <row r="81" ht="15.75" customHeight="1">
      <c r="A81" s="11" t="s">
        <v>299</v>
      </c>
      <c r="B81" s="11" t="s">
        <v>301</v>
      </c>
    </row>
    <row r="82" ht="15.75" customHeight="1">
      <c r="A82" s="11" t="s">
        <v>299</v>
      </c>
      <c r="B82" s="11" t="s">
        <v>302</v>
      </c>
    </row>
    <row r="83" ht="15.75" customHeight="1">
      <c r="A83" s="11" t="s">
        <v>299</v>
      </c>
      <c r="B83" s="11" t="s">
        <v>303</v>
      </c>
    </row>
    <row r="84" ht="15.75" customHeight="1">
      <c r="A84" s="11" t="s">
        <v>299</v>
      </c>
      <c r="B84" s="11" t="s">
        <v>279</v>
      </c>
    </row>
    <row r="85" ht="15.75" customHeight="1">
      <c r="A85" s="11" t="s">
        <v>304</v>
      </c>
      <c r="B85" s="11" t="s">
        <v>223</v>
      </c>
    </row>
    <row r="86" ht="15.75" customHeight="1">
      <c r="A86" s="11" t="s">
        <v>304</v>
      </c>
      <c r="B86" s="11" t="s">
        <v>229</v>
      </c>
    </row>
    <row r="87" ht="15.75" customHeight="1">
      <c r="A87" s="11" t="s">
        <v>304</v>
      </c>
      <c r="B87" s="11" t="s">
        <v>232</v>
      </c>
    </row>
    <row r="88" ht="15.75" customHeight="1">
      <c r="A88" s="11" t="s">
        <v>304</v>
      </c>
      <c r="B88" s="11" t="s">
        <v>226</v>
      </c>
    </row>
    <row r="89" ht="15.75" customHeight="1">
      <c r="A89" s="11" t="s">
        <v>304</v>
      </c>
      <c r="B89" s="11" t="s">
        <v>235</v>
      </c>
    </row>
    <row r="90" ht="15.75" customHeight="1">
      <c r="A90" s="11" t="s">
        <v>304</v>
      </c>
      <c r="B90" s="11" t="s">
        <v>305</v>
      </c>
    </row>
    <row r="91" ht="15.75" customHeight="1">
      <c r="A91" s="11" t="s">
        <v>304</v>
      </c>
      <c r="B91" s="11" t="s">
        <v>306</v>
      </c>
    </row>
    <row r="92" ht="15.75" customHeight="1">
      <c r="A92" s="11" t="s">
        <v>304</v>
      </c>
      <c r="B92" s="11" t="s">
        <v>307</v>
      </c>
    </row>
    <row r="93" ht="15.75" customHeight="1">
      <c r="A93" s="11" t="s">
        <v>304</v>
      </c>
      <c r="B93" s="11" t="s">
        <v>238</v>
      </c>
    </row>
    <row r="94" ht="15.75" customHeight="1">
      <c r="A94" s="11" t="s">
        <v>304</v>
      </c>
      <c r="B94" s="11" t="s">
        <v>308</v>
      </c>
    </row>
    <row r="95" ht="15.75" customHeight="1">
      <c r="A95" s="11" t="s">
        <v>304</v>
      </c>
      <c r="B95" s="11" t="s">
        <v>309</v>
      </c>
    </row>
    <row r="96" ht="15.75" customHeight="1">
      <c r="A96" s="11" t="s">
        <v>304</v>
      </c>
      <c r="B96" s="11" t="s">
        <v>310</v>
      </c>
    </row>
    <row r="97" ht="15.75" customHeight="1">
      <c r="A97" s="11" t="s">
        <v>304</v>
      </c>
      <c r="B97" s="11" t="s">
        <v>279</v>
      </c>
    </row>
    <row r="98" ht="15.75" customHeight="1">
      <c r="A98" s="11" t="s">
        <v>311</v>
      </c>
      <c r="B98" s="11" t="s">
        <v>312</v>
      </c>
    </row>
    <row r="99" ht="15.75" customHeight="1">
      <c r="A99" s="11" t="s">
        <v>311</v>
      </c>
      <c r="B99" s="11" t="s">
        <v>313</v>
      </c>
    </row>
    <row r="100" ht="15.75" customHeight="1">
      <c r="A100" s="11" t="s">
        <v>311</v>
      </c>
      <c r="B100" s="11" t="s">
        <v>314</v>
      </c>
    </row>
    <row r="101" ht="15.75" customHeight="1">
      <c r="A101" s="11" t="s">
        <v>311</v>
      </c>
      <c r="B101" s="11" t="s">
        <v>315</v>
      </c>
    </row>
    <row r="102" ht="15.75" customHeight="1">
      <c r="A102" s="11" t="s">
        <v>311</v>
      </c>
      <c r="B102" s="11" t="s">
        <v>316</v>
      </c>
    </row>
    <row r="103" ht="15.75" customHeight="1">
      <c r="A103" s="11" t="s">
        <v>311</v>
      </c>
      <c r="B103" s="11" t="s">
        <v>317</v>
      </c>
    </row>
    <row r="104" ht="15.75" customHeight="1">
      <c r="A104" s="11" t="s">
        <v>311</v>
      </c>
      <c r="B104" s="11" t="s">
        <v>318</v>
      </c>
    </row>
    <row r="105" ht="15.75" customHeight="1">
      <c r="A105" s="11" t="s">
        <v>311</v>
      </c>
      <c r="B105" s="11" t="s">
        <v>319</v>
      </c>
    </row>
    <row r="106" ht="15.75" customHeight="1">
      <c r="A106" s="11" t="s">
        <v>311</v>
      </c>
      <c r="B106" s="11" t="s">
        <v>279</v>
      </c>
    </row>
    <row r="107" ht="15.75" customHeight="1">
      <c r="A107" s="11" t="s">
        <v>320</v>
      </c>
      <c r="B107" s="11" t="s">
        <v>321</v>
      </c>
    </row>
    <row r="108" ht="15.75" customHeight="1">
      <c r="A108" s="11" t="s">
        <v>320</v>
      </c>
      <c r="B108" s="11" t="s">
        <v>322</v>
      </c>
    </row>
    <row r="109" ht="15.75" customHeight="1">
      <c r="A109" s="11" t="s">
        <v>320</v>
      </c>
      <c r="B109" s="11" t="s">
        <v>323</v>
      </c>
    </row>
    <row r="110" ht="15.75" customHeight="1">
      <c r="A110" s="11" t="s">
        <v>320</v>
      </c>
      <c r="B110" s="11" t="s">
        <v>324</v>
      </c>
    </row>
    <row r="111" ht="15.75" customHeight="1">
      <c r="A111" s="11" t="s">
        <v>320</v>
      </c>
      <c r="B111" s="11" t="s">
        <v>325</v>
      </c>
    </row>
    <row r="112" ht="15.75" customHeight="1">
      <c r="A112" s="11" t="s">
        <v>320</v>
      </c>
      <c r="B112" s="11" t="s">
        <v>326</v>
      </c>
    </row>
    <row r="113" ht="15.75" customHeight="1">
      <c r="A113" s="11" t="s">
        <v>320</v>
      </c>
      <c r="B113" s="11" t="s">
        <v>327</v>
      </c>
    </row>
    <row r="114" ht="15.75" customHeight="1">
      <c r="A114" s="11" t="s">
        <v>320</v>
      </c>
      <c r="B114" s="11" t="s">
        <v>328</v>
      </c>
    </row>
    <row r="115" ht="15.75" customHeight="1">
      <c r="A115" s="11" t="s">
        <v>320</v>
      </c>
      <c r="B115" s="11" t="s">
        <v>329</v>
      </c>
    </row>
    <row r="116" ht="15.75" customHeight="1">
      <c r="A116" s="11" t="s">
        <v>320</v>
      </c>
      <c r="B116" s="11" t="s">
        <v>330</v>
      </c>
    </row>
    <row r="117" ht="15.75" customHeight="1">
      <c r="A117" s="11" t="s">
        <v>320</v>
      </c>
      <c r="B117" s="11" t="s">
        <v>331</v>
      </c>
    </row>
    <row r="118" ht="15.75" customHeight="1">
      <c r="A118" s="11" t="s">
        <v>320</v>
      </c>
      <c r="B118" s="11" t="s">
        <v>332</v>
      </c>
    </row>
    <row r="119" ht="15.75" customHeight="1">
      <c r="A119" s="11" t="s">
        <v>320</v>
      </c>
      <c r="B119" s="11" t="s">
        <v>279</v>
      </c>
    </row>
    <row r="120" ht="15.75" customHeight="1">
      <c r="A120" s="11" t="s">
        <v>333</v>
      </c>
      <c r="B120" s="11" t="s">
        <v>334</v>
      </c>
    </row>
    <row r="121" ht="15.75" customHeight="1">
      <c r="A121" s="11" t="s">
        <v>333</v>
      </c>
      <c r="B121" s="11" t="s">
        <v>335</v>
      </c>
    </row>
    <row r="122" ht="15.75" customHeight="1">
      <c r="A122" s="11" t="s">
        <v>333</v>
      </c>
      <c r="B122" s="11" t="s">
        <v>336</v>
      </c>
    </row>
    <row r="123" ht="15.75" customHeight="1">
      <c r="A123" s="11" t="s">
        <v>333</v>
      </c>
      <c r="B123" s="11" t="s">
        <v>337</v>
      </c>
    </row>
    <row r="124" ht="15.75" customHeight="1">
      <c r="A124" s="11" t="s">
        <v>333</v>
      </c>
      <c r="B124" s="11" t="s">
        <v>338</v>
      </c>
    </row>
    <row r="125" ht="15.75" customHeight="1">
      <c r="A125" s="11" t="s">
        <v>333</v>
      </c>
      <c r="B125" s="11" t="s">
        <v>339</v>
      </c>
    </row>
    <row r="126" ht="15.75" customHeight="1">
      <c r="A126" s="11" t="s">
        <v>333</v>
      </c>
      <c r="B126" s="11" t="s">
        <v>279</v>
      </c>
    </row>
    <row r="127" ht="15.75" customHeight="1">
      <c r="A127" s="11" t="s">
        <v>340</v>
      </c>
      <c r="B127" s="11" t="s">
        <v>341</v>
      </c>
    </row>
    <row r="128" ht="15.75" customHeight="1">
      <c r="A128" s="11" t="s">
        <v>340</v>
      </c>
      <c r="B128" s="11" t="s">
        <v>342</v>
      </c>
    </row>
    <row r="129" ht="15.75" customHeight="1">
      <c r="A129" s="11" t="s">
        <v>340</v>
      </c>
      <c r="B129" s="11" t="s">
        <v>343</v>
      </c>
    </row>
    <row r="130" ht="15.75" customHeight="1">
      <c r="A130" s="11" t="s">
        <v>340</v>
      </c>
      <c r="B130" s="11" t="s">
        <v>344</v>
      </c>
    </row>
    <row r="131" ht="15.75" customHeight="1">
      <c r="A131" s="11" t="s">
        <v>340</v>
      </c>
      <c r="B131" s="11" t="s">
        <v>345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92.5"/>
    <col customWidth="1" min="3" max="26" width="8.63"/>
  </cols>
  <sheetData>
    <row r="1">
      <c r="A1" s="19" t="s">
        <v>346</v>
      </c>
      <c r="B1" s="19"/>
    </row>
    <row r="2">
      <c r="A2" s="20" t="s">
        <v>347</v>
      </c>
      <c r="B2" s="21" t="s">
        <v>348</v>
      </c>
    </row>
    <row r="3">
      <c r="A3" s="20" t="s">
        <v>349</v>
      </c>
      <c r="B3" s="21" t="s">
        <v>350</v>
      </c>
    </row>
    <row r="4">
      <c r="A4" s="20" t="s">
        <v>351</v>
      </c>
      <c r="B4" s="20" t="s">
        <v>352</v>
      </c>
    </row>
    <row r="5">
      <c r="A5" s="20" t="s">
        <v>353</v>
      </c>
      <c r="B5" s="20" t="s">
        <v>354</v>
      </c>
    </row>
    <row r="6">
      <c r="A6" s="20" t="s">
        <v>355</v>
      </c>
      <c r="B6" s="20" t="s">
        <v>356</v>
      </c>
    </row>
    <row r="7">
      <c r="A7" s="20"/>
      <c r="B7" s="20"/>
    </row>
    <row r="8">
      <c r="A8" s="20"/>
      <c r="B8" s="20"/>
    </row>
    <row r="9">
      <c r="A9" s="22"/>
      <c r="B9" s="22"/>
    </row>
    <row r="10">
      <c r="A10" s="22"/>
      <c r="B10" s="22"/>
    </row>
    <row r="11">
      <c r="A11" s="22"/>
      <c r="B11" s="22"/>
    </row>
    <row r="12">
      <c r="A12" s="22"/>
      <c r="B12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</hyperlinks>
  <printOptions/>
  <pageMargins bottom="0.75" footer="0.0" header="0.0" left="0.7" right="0.7" top="0.75"/>
  <pageSetup orientation="landscape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0.0"/>
    <col customWidth="1" min="2" max="26" width="8.63"/>
  </cols>
  <sheetData>
    <row r="1">
      <c r="A1" s="24" t="s">
        <v>357</v>
      </c>
    </row>
    <row r="2">
      <c r="A2" s="9"/>
    </row>
    <row r="3">
      <c r="A3" s="9" t="s">
        <v>358</v>
      </c>
    </row>
    <row r="4">
      <c r="A4" s="9"/>
    </row>
    <row r="5">
      <c r="A5" s="9" t="s">
        <v>359</v>
      </c>
    </row>
    <row r="6">
      <c r="A6" s="9" t="s">
        <v>360</v>
      </c>
    </row>
    <row r="7">
      <c r="A7" s="9"/>
    </row>
    <row r="8">
      <c r="A8" s="9" t="s">
        <v>361</v>
      </c>
    </row>
    <row r="9">
      <c r="A9" s="9" t="s">
        <v>362</v>
      </c>
    </row>
    <row r="10">
      <c r="A10" s="9"/>
    </row>
    <row r="11">
      <c r="A11" s="9" t="s">
        <v>363</v>
      </c>
    </row>
    <row r="12">
      <c r="A12" s="9" t="s">
        <v>364</v>
      </c>
    </row>
    <row r="13">
      <c r="A13" s="9"/>
    </row>
    <row r="14">
      <c r="A14" s="9" t="s">
        <v>365</v>
      </c>
    </row>
    <row r="15">
      <c r="A15" s="9" t="s">
        <v>366</v>
      </c>
    </row>
    <row r="16">
      <c r="A16" s="9" t="s">
        <v>367</v>
      </c>
    </row>
    <row r="17">
      <c r="A17" s="9" t="s">
        <v>368</v>
      </c>
    </row>
    <row r="18">
      <c r="A18" s="9" t="s">
        <v>369</v>
      </c>
    </row>
    <row r="19">
      <c r="A19" s="9" t="s">
        <v>370</v>
      </c>
    </row>
    <row r="20">
      <c r="A20" s="9"/>
    </row>
    <row r="21" ht="15.75" customHeight="1">
      <c r="A21" s="9" t="s">
        <v>371</v>
      </c>
    </row>
    <row r="22" ht="15.75" customHeight="1">
      <c r="A22" s="9" t="s">
        <v>372</v>
      </c>
    </row>
    <row r="23" ht="15.75" customHeight="1">
      <c r="A23" s="9"/>
    </row>
    <row r="24" ht="15.75" customHeight="1">
      <c r="A24" s="9" t="s">
        <v>373</v>
      </c>
    </row>
    <row r="25" ht="15.75" customHeight="1">
      <c r="A25" s="9" t="s">
        <v>374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
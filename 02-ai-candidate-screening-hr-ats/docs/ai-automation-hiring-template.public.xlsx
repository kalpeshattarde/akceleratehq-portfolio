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pplications" sheetId="1" r:id="rId5"/>
    <sheet state="visible" name="Jobs" sheetId="2" r:id="rId6"/>
    <sheet state="visible" name="Screening Criteria" sheetId="3" r:id="rId7"/>
    <sheet state="visible" name="Routing Rules" sheetId="4" r:id="rId8"/>
    <sheet state="visible" name="Interview Slots" sheetId="5" r:id="rId9"/>
    <sheet state="visible" name="Dashboard" sheetId="6" r:id="rId10"/>
    <sheet state="visible" name="Lookups" sheetId="7" r:id="rId11"/>
    <sheet state="visible" name="Setup" sheetId="8" r:id="rId12"/>
    <sheet state="visible" name="README" sheetId="9" r:id="rId13"/>
  </sheets>
  <definedNames/>
  <calcPr/>
</workbook>
</file>

<file path=xl/sharedStrings.xml><?xml version="1.0" encoding="utf-8"?>
<sst xmlns="http://schemas.openxmlformats.org/spreadsheetml/2006/main" count="441" uniqueCount="309">
  <si>
    <t>timestamp</t>
  </si>
  <si>
    <t>full_name</t>
  </si>
  <si>
    <t>email</t>
  </si>
  <si>
    <t>whatsapp_number</t>
  </si>
  <si>
    <t>phone</t>
  </si>
  <si>
    <t>city_state</t>
  </si>
  <si>
    <t>linkedin_url</t>
  </si>
  <si>
    <t>portfolio_url</t>
  </si>
  <si>
    <t>github_url</t>
  </si>
  <si>
    <t>resume_link</t>
  </si>
  <si>
    <t>job_role</t>
  </si>
  <si>
    <t>experience_years</t>
  </si>
  <si>
    <t>notice_period</t>
  </si>
  <si>
    <t>expected_salary_or_charges</t>
  </si>
  <si>
    <t>employment_type</t>
  </si>
  <si>
    <t>skills_checklist</t>
  </si>
  <si>
    <t>has_n8n_production</t>
  </si>
  <si>
    <t>has_local_llm_rag</t>
  </si>
  <si>
    <t>automation_built_end_to_end</t>
  </si>
  <si>
    <t>automation_outcome</t>
  </si>
  <si>
    <t>client_industries</t>
  </si>
  <si>
    <t>comfortable_presenting_to_founder_md</t>
  </si>
  <si>
    <t>whatsapp_opt_in</t>
  </si>
  <si>
    <t>source_post</t>
  </si>
  <si>
    <t>processed</t>
  </si>
  <si>
    <t>status</t>
  </si>
  <si>
    <t>ai_score</t>
  </si>
  <si>
    <t>ai_category</t>
  </si>
  <si>
    <t>ai_summary</t>
  </si>
  <si>
    <t>strengths</t>
  </si>
  <si>
    <t>weaknesses</t>
  </si>
  <si>
    <t>recommended_action</t>
  </si>
  <si>
    <t>interview_time</t>
  </si>
  <si>
    <t>assigned_reviewer</t>
  </si>
  <si>
    <t>notes</t>
  </si>
  <si>
    <t>updated_at</t>
  </si>
  <si>
    <t>resume_text</t>
  </si>
  <si>
    <t>ai_prompt</t>
  </si>
  <si>
    <t>risk_flags</t>
  </si>
  <si>
    <t>interview_questions</t>
  </si>
  <si>
    <t>calendar_event_id</t>
  </si>
  <si>
    <t>calendar_event_link</t>
  </si>
  <si>
    <t>google_meet_link</t>
  </si>
  <si>
    <t>interview_start</t>
  </si>
  <si>
    <t>interview_end</t>
  </si>
  <si>
    <t>resume_file_id</t>
  </si>
  <si>
    <t>id</t>
  </si>
  <si>
    <t>threadId</t>
  </si>
  <si>
    <t>labelIds</t>
  </si>
  <si>
    <t>Priya Kulkarni</t>
  </si>
  <si>
    <t>priya.demo@example.com</t>
  </si>
  <si>
    <t>Mumbai, Maharashtra</t>
  </si>
  <si>
    <t>https://linkedin.com/in/priya-demo</t>
  </si>
  <si>
    <t>https://priya-ops.demo</t>
  </si>
  <si>
    <t>https://github.com/priya-demo</t>
  </si>
  <si>
    <t>https://drive.google.com/file/d/YOUR_SAMPLE_RESUME_FILE_ID/view?usp=sharing</t>
  </si>
  <si>
    <t>AI Automation Expert</t>
  </si>
  <si>
    <t>30 days</t>
  </si>
  <si>
    <t>₹35,000/project</t>
  </si>
  <si>
    <t>Freelance / Project</t>
  </si>
  <si>
    <t>Make, Zapier, basic n8n, ChatGPT API, Google Sheets, Webhooks, WhatsApp automation, CRM updates</t>
  </si>
  <si>
    <t>No</t>
  </si>
  <si>
    <t>Built simple lead notification workflow from Google Form to Gmail and Sheets.</t>
  </si>
  <si>
    <t>Reduced missed leads and improved response time.</t>
  </si>
  <si>
    <t>Lead Management, Marketing</t>
  </si>
  <si>
    <t>Yes</t>
  </si>
  <si>
    <t>Parshant Verma LinkedIn Post</t>
  </si>
  <si>
    <t>Scored</t>
  </si>
  <si>
    <t>Average</t>
  </si>
  <si>
    <t>Priya is an operations automation associate with strong Make/Zapier experience and practical CRM/lead-workflow automation. She has basic n8n exposure and has used AI tools for summaries and reply drafting, but lacks production n8n experience, local LLM/RAG knowledge, and deployment/backend skills. Good communicator with measurable business outcomes from past projects, suited for a supervised automation role or a project with clear scope and mentorship.</t>
  </si>
  <si>
    <t>Solid Make and Zapier experience for lead routing and CRM updates, Practical CRM automation (HubSpot) and campaign tracking — delivered measurable outcome (reduced missed leads), Familiar with webhooks, Google Sheets integrations, Slack/email notifications and basic n8n workflows, Clear communication of business outcomes and experience reporting to managers, Has public portfolio and GitHub for review</t>
  </si>
  <si>
    <t>No n8n production experience — only basic workflows built under guidance, No experience with RAG or local LLMs (Ollama/LM Studio) and limited AI-agent experience, Limited backend/dev skills — minimal Python/Node.js and no Docker/deployment experience, No demonstrated Gmail API or Microsoft Graph integrations and limited OAuth experience, No documented finance workflow (invoicing/reminders/reporting) or WhatsApp+CRM lead management in production</t>
  </si>
  <si>
    <t>Manual Review</t>
  </si>
  <si>
    <t>2026-07-02T08:41:42.602Z</t>
  </si>
  <si>
    <t>Priya Kulkarni
Automation Associate | Make, Zapier, Basic n8n, CRM Workflows
Email: priya.demo@example.com | WhatsApp: +91 90000 00003 | LinkedIn: linkedin.com/in/priya-demo | GitHub:
github.com/priya-demo | Portfolio: priya-ops.demo
SUMMARY
Operations automation associate with 1.6 years of experience building internal workflows using Make, Zapier, Google Sheets
and basic n8n. Good understanding of lead management, CRM updates, email notifications and reporting. Has used AI tools
for content summaries and basic reply drafting, but limited experience with local LLMs, RAG and production deployment.
CORE SKILLS
Make.com | Zapier | Basic n8n | Google Sheets | Airtable | HubSpot CRM | Email automation | Slack alerts | Basic APIs |
Webhook testing | Canva reports | Excel | Basic AI prompting
EXPERIENCE
Automation Associate - MarketBridge Services | 2024 - 2026
• Created Make and Zapier workflows for lead alerts, CRM contact creation, follow-up reminders and Google Sheet updates.
• Built simple n8n workflows for webhook capture, data formatting and email notifications under senior developer guidance.
• Maintained daily campaign tracking sheets and sent weekly performance summaries to managers.
• Used AI tools to summarize inquiries and suggest basic email replies for sales team review.
Operations Intern - LearnDesk Academy | 2023 - 2024
• Managed student inquiry data, demo class reminders and admission follow-up tracking in Google Sheets.
SELECTED PROJECTS
Lead Alert Workflow
• Connected Facebook lead forms to Google Sheets and HubSpot using Make, then sent Slack notifications to sales team.
• Result: team started responding to leads on the same day instead of next day.
Basic n8n Email Summary Workflow
• Used n8n schedule trigger to read sheet rows and send daily email summary to manager.
EDUCATION
• BBA - 2023
• Make.com Basics - Certificate
• Zapier Automation Basics - Certificate
Demo note: Fictional resume for testing AI hiring automation. Expected route in demo: Average / Manual Review.</t>
  </si>
  <si>
    <t xml:space="preserve">
You are an expert technical recruiter for AI automation roles.
Hiring context:
The roles are AI Automation Engineer / n8n Automation Developer / AI Automation Expert / Automation Workflow Lead.
Important skills:
- n8n production workflows, Make, Zapier
- AI agents, email classification, reply drafting, sales pipeline automation
- Private RAG knowledge vault, vector DBs, Ollama / LM Studio
- Python or Node.js, JavaScript, REST APIs, webhooks, OAuth, JSON
- Gmail API / Microsoft Graph
- CRM systems: Bitrix24, Zoho, HubSpot or similar
- Finance workflows: invoicing, reminders, reporting
- Marketing outreach sequences and campaign tracking
- WhatsApp automation and CRM lead management
- Docker, deployment, local infrastructure
- Ability to present outcomes to founder / MD
Candidate form details:
Name: Priya Kulkarni
Email: priya.demo@example.com
WhatsApp: +919000010003
Role applying for: AI Automation Expert
Experience years: 2
Notice period: 30 days
Expected salary or charges: ₹35,000/project
Employment type: Freelance / Project
Skills checklist: Make, Zapier, basic n8n, ChatGPT API, Google Sheets, Webhooks, WhatsApp automation, CRM updates
n8n production experience: No
Local LLM / RAG experience: No
End-to-end automation built: Built simple lead notification workflow from Google Form to Gmail and Sheets.
Business outcome: Reduced missed leads and improved response time.
Portfolio: https://priya-ops.demo
GitHub: https://github.com/priya-demo
LinkedIn: https://linkedin.com/in/priya-demo
Resume text:
Priya Kulkarni
Automation Associate | Make, Zapier, Basic n8n, CRM Workflows
Email: priya.demo@example.com | WhatsApp: +91 90000 00003 | LinkedIn: linkedin.com/in/priya-demo | GitHub:
github.com/priya-demo | Portfolio: priya-ops.demo
SUMMARY
Operations automation associate with 1.6 years of experience building internal workflows using Make, Zapier, Google Sheets
and basic n8n. Good understanding of lead management, CRM updates, email notifications and reporting. Has used AI tools
for content summaries and basic reply drafting, but limited experience with local LLMs, RAG and production deployment.
CORE SKILLS
Make.com | Zapier | Basic n8n | Google Sheets | Airtable | HubSpot CRM | Email automation | Slack alerts | Basic APIs |
Webhook testing | Canva reports | Excel | Basic AI prompting
EXPERIENCE
Automation Associate - MarketBridge Services | 2024 - 2026
• Created Make and Zapier workflows for lead alerts, CRM contact creation, follow-up reminders and Google Sheet updates.
• Built simple n8n workflows for webhook capture, data formatting and email notifications under senior developer guidance.
• Maintained daily campaign tracking sheets and sent weekly performance summaries to managers.
• Used AI tools to summarize inquiries and suggest basic email replies for sales team review.
Operations Intern - LearnDesk Academy | 2023 - 2024
• Managed student inquiry data, demo class reminders and admission follow-up tracking in Google Sheets.
SELECTED PROJECTS
Lead Alert Workflow
• Connected Facebook lead forms to Google Sheets and HubSpot using Make, then sent Slack notifications to sales team.
• Result: team started responding to leads on the same day instead of next day.
Basic n8n Email Summary Workflow
• Used n8n schedule trigger to read sheet rows and send daily email summary to manager.
EDUCATION
• BBA - 2023
• Make.com Basics - Certificate
• Zapier Automation Basics - Certificate
Demo note: Fictional resume for testing AI hiring automation. Expected route in demo: Average / Manual Review.
Score the candidate from 0 to 100 using this weighting:
1. n8n / workflow automation production experience: 20
2. AI agents + LLM automation: 15
3. RAG + local LLM infrastructure: 15
4. APIs, webhooks, OAuth, Gmail/MS Graph: 15
5. CRM + sales/marketing/finance automation: 15
6. Python/Node.js + Docker/deployment: 10
7. Communication and founder-facing business outcome clarity: 10
Return only valid JSON. No markdown. No text outside JSON.
Required JSON format:
{
  "score": 90,
  "category": "Strong",
  "summary": "Short candidate summary",
  "strengths": ["strength 1", "strength 2"],
  "weaknesses": ["weakness 1", "weakness 2"],
  "recommended_action": "Interview",
  "risk_flags": ["risk 1", "risk 2"],
  "interview_questions": ["question 1", "question 2"]
}
Rules:
- Strong = score 75 or above
- Average = score 50 to 74
- Weak = below 50
- recommended_action must be Interview, Manual Review, or HR Approval Before Rejection
- Do not judge age, gender, religion, caste, location, photo, or personal background.
- Judge only skills, experience, projects, communication, and role fit.
</t>
  </si>
  <si>
    <t>No production-grade n8n or deployment experience — may need senior mentorship, Zero local LLM / RAG experience for projects requiring private vector DBs or on-prem LLMs, Limited developer skills (Python/Node/Docker) — could slow integrations requiring custom code</t>
  </si>
  <si>
    <t>Describe an n8n workflow you built from trigger to production — what nodes did you use, how did you handle errors and retries? If you haven’t deployed to production, explain what would change compared to your prototype. | Walk me through the Make-based Facebook lead-to-HubSpot workflow: how did you map fields, handle duplicates, and ensure idempotency? | Have you used the ChatGPT API or any LLM APIs programmatically? Give an example of how you integrated prompting into an automation and how you validated outputs. | Explain how you would design a private RAG pipeline for company docs (vector DB, retrieval, contextualization, and prompts). What components would you choose and why? | Describe your experience with webhooks and OAuth flows. Have you implemented OAuth-based integrations (Gmail API, Microsoft Graph)? If not, how would you approach it? | Share an example where you automated an outreach sequence and tracked campaign performance end-to-end. How did you handle unsubscribes, bounces, and CRM sync? | Have you implemented WhatsApp automation tied to CRM leads? If not, how would you architect a WhatsApp + CRM lead-handling flow, including delivery receipts and opt-in compliance? | What is your comfort level with writing custom code (Node.js or Python) for transformations or handling API rate limits? Provide an example if available. | Have you deployed any automation in Docker or other infrastructure (servers, CI/CD)? If not, how would you package and deploy an n8n instance or an automation microservice? | How do you present automation outcomes to founders/MDs — what metrics do you track and how do you show business impact?</t>
  </si>
  <si>
    <t>YOUR_SAMPLE_RESUME_FILE_ID</t>
  </si>
  <si>
    <t>+91 90000 10003</t>
  </si>
  <si>
    <t>New</t>
  </si>
  <si>
    <t>Aman Verma</t>
  </si>
  <si>
    <t>aman.demo@example.com</t>
  </si>
  <si>
    <t>Indore, Madhya Pradesh</t>
  </si>
  <si>
    <t>https://linkedin.com/in/aman-demo</t>
  </si>
  <si>
    <t>https://aman-web.demo</t>
  </si>
  <si>
    <t>https://github.com/aman-demo</t>
  </si>
  <si>
    <t>https://drive.google.com/file/d/YOUR_SAMPLE_RESUME_FILE_ID/view?usp=sharing</t>
  </si>
  <si>
    <t>Automation Workflow Lead</t>
  </si>
  <si>
    <t>Immediate</t>
  </si>
  <si>
    <t>₹5 LPA</t>
  </si>
  <si>
    <t>Full-time Remote</t>
  </si>
  <si>
    <t>HTML, CSS, JavaScript, basic web development, Google Sheets</t>
  </si>
  <si>
    <t>Built a static website contact form and email notification.</t>
  </si>
  <si>
    <t>Helped collect enquiries from website visitors.</t>
  </si>
  <si>
    <t>Web Development</t>
  </si>
  <si>
    <t>Shilpi Kumar LinkedIn Post</t>
  </si>
  <si>
    <t>Weak</t>
  </si>
  <si>
    <t>Junior front-end developer with 1 year experience in static websites and basic forms. Has portfolio, GitHub and immediate availability but lacks almost all required automation, n8n, LLM/RAG, CRM and deployment experience for an Automation Workflow Lead role.</t>
  </si>
  <si>
    <t>Solid basic frontend skills: HTML, CSS, JavaScript basics and React fundamentals, Has built and deployed a personal portfolio and simple contact forms (business outcome: collected enquiries), Active GitHub, portfolio and LinkedIn links available for review, Immediate availability and low expected salary</t>
  </si>
  <si>
    <t>No production n8n or other workflow automation platform experience, No experience with AI agents, LLM automation or RAG/vector DBs, No local LLM deployment or private knowledge vault experience, Minimal API, webhooks, OAuth, Gmail/Microsoft Graph experience, No CRM integrations (Bitrix24/Zoho/HubSpot) or finance/marketing automation experience, No proven Node.js/Python backend, Docker or deployment experience</t>
  </si>
  <si>
    <t>HR Approval Before Rejection</t>
  </si>
  <si>
    <t>2026-06-26T18:50:06.841Z</t>
  </si>
  <si>
    <t>Aman Verma
Junior Web Developer | HTML, CSS, React Basics
Email: aman.demo@example.com | WhatsApp: +91 90000 00004 | LinkedIn: linkedin.com/in/aman-demo | GitHub:
github.com/aman-demo | Portfolio: aman-web.demo
SUMMARY
Junior web developer with basic frontend development experience. Comfortable with HTML, CSS, JavaScript and React
basics. Has created static websites and simple forms. Limited exposure to workflow automation, no production n8n
experience, no local LLM deployment, no RAG or vector database experience and minimal API integration experience.
CORE SKILLS
HTML | CSS | JavaScript basics | React basics | Bootstrap | GitHub | Figma to HTML | Static websites | Basic forms | Basic
Excel
EXPERIENCE
Junior Web Developer Intern - PixelDesk Studio | 2025 - 2026
• Built landing pages using HTML, CSS, Bootstrap and basic React components.
• Updated website content and fixed responsive layout issues for small business websites.
• Created simple contact forms and passed submissions to Google Sheets using a tutorial-based approach.
• Has not built production n8n workflows, AI agents, CRM integrations or finance automation systems.
SELECTED PROJECTS
Portfolio Website
• Created personal portfolio website with project cards and contact form.
• Used basic JavaScript validation and hosted the site on a free static hosting platform.
College Event Landing Page
• Built a responsive event landing page with registration button and schedule section.
EDUCATION
• B.Sc IT - 2025
• Frontend Development Basics - Certificate
Demo note: Fictional resume for testing AI hiring automation. Expected route in demo: Weak / Rejection Pending HR Approval.</t>
  </si>
  <si>
    <t xml:space="preserve">
You are an expert technical recruiter for AI automation roles.
Hiring context:
The roles are AI Automation Engineer / n8n Automation Developer / AI Automation Expert / Automation Workflow Lead.
Important skills:
- n8n production workflows, Make, Zapier
- AI agents, email classification, reply drafting, sales pipeline automation
- Private RAG knowledge vault, vector DBs, Ollama / LM Studio
- Python or Node.js, JavaScript, REST APIs, webhooks, OAuth, JSON
- Gmail API / Microsoft Graph
- CRM systems: Bitrix24, Zoho, HubSpot or similar
- Finance workflows: invoicing, reminders, reporting
- Marketing outreach sequences and campaign tracking
- WhatsApp automation and CRM lead management
- Docker, deployment, local infrastructure
- Ability to present outcomes to founder / MD
Candidate form details:
Name: Aman Verma
Email: aman.demo@example.com
WhatsApp: +919000010004
Role applying for: Automation Workflow Lead
Experience years: 1
Notice period: Immediate
Expected salary or charges: ₹5 LPA
Employment type: Full-time Remote
Skills checklist: HTML, CSS, JavaScript, basic web development, Google Sheets
n8n production experience: No
Local LLM / RAG experience: No
End-to-end automation built: Built a static website contact form and email notification.
Business outcome: Helped collect enquiries from website visitors.
Portfolio: https://aman-web.demo
GitHub: https://github.com/aman-demo
LinkedIn: https://linkedin.com/in/aman-demo
Resume text:
Aman Verma
Junior Web Developer | HTML, CSS, React Basics
Email: aman.demo@example.com | WhatsApp: +91 90000 00004 | LinkedIn: linkedin.com/in/aman-demo | GitHub:
github.com/aman-demo | Portfolio: aman-web.demo
SUMMARY
Junior web developer with basic frontend development experience. Comfortable with HTML, CSS, JavaScript and React
basics. Has created static websites and simple forms. Limited exposure to workflow automation, no production n8n
experience, no local LLM deployment, no RAG or vector database experience and minimal API integration experience.
CORE SKILLS
HTML | CSS | JavaScript basics | React basics | Bootstrap | GitHub | Figma to HTML | Static websites | Basic forms | Basic
Excel
EXPERIENCE
Junior Web Developer Intern - PixelDesk Studio | 2025 - 2026
• Built landing pages using HTML, CSS, Bootstrap and basic React components.
• Updated website content and fixed responsive layout issues for small business websites.
• Created simple contact forms and passed submissions to Google Sheets using a tutorial-based approach.
• Has not built production n8n workflows, AI agents, CRM integrations or finance automation systems.
SELECTED PROJECTS
Portfolio Website
• Created personal portfolio website with project cards and contact form.
• Used basic JavaScript validation and hosted the site on a free static hosting platform.
College Event Landing Page
• Built a responsive event landing page with registration button and schedule section.
EDUCATION
• B.Sc IT - 2025
• Frontend Development Basics - Certificate
Demo note: Fictional resume for testing AI hiring automation. Expected route in demo: Weak / Rejection Pending HR Approval.
Score the candidate from 0 to 100 using this weighting:
1. n8n / workflow automation production experience: 20
2. AI agents + LLM automation: 15
3. RAG + local LLM infrastructure: 15
4. APIs, webhooks, OAuth, Gmail/MS Graph: 15
5. CRM + sales/marketing/finance automation: 15
6. Python/Node.js + Docker/deployment: 10
7. Communication and founder-facing business outcome clarity: 10
Return only valid JSON. No markdown. No text outside JSON.
Required JSON format:
{
  "score": 90,
  "category": "Strong",
  "summary": "Short candidate summary",
  "strengths": ["strength 1", "strength 2"],
  "weaknesses": ["weakness 1", "weakness 2"],
  "recommended_action": "Interview",
  "risk_flags": ["risk 1", "risk 2"],
  "interview_questions": ["question 1", "question 2"]
}
Rules:
- Strong = score 75 or above
- Average = score 50 to 74
- Weak = below 50
- recommended_action must be Interview, Manual Review, or HR Approval Before Rejection
- Do not judge age, gender, religion, caste, location, photo, or personal background.
- Judge only skills, experience, projects, communication, and role fit.
</t>
  </si>
  <si>
    <t>Significant mismatch between job requirements and candidate skills, Candidate lacks production-grade automation and integration experience required for lead role, Resume suggests only tutorial-based or academic projects — limited evidence of independent, end-to-end automation delivery</t>
  </si>
  <si>
    <t>Describe the contact form project: how submissions are collected, stored, and any processing or notifications implemented. | Have you used any automation platforms (n8n, Make, Zapier)? If not, how would you approach learning and building a first n8n workflow to collect leads and push to a CRM? | Explain how you would use a REST API and webhooks to connect a form submission to an external service. What data format would you send and how would you secure it? | Do you have any experience with OAuth or API authentication? If not, explain how OAuth works at a high level and why it is used. | Have you worked with any backend language or runtime (Node.js, Python)? If not, how comfortable are you learning Node.js to build automation functions? | Describe how you would implement a simple retry and error-handling strategy for an unreliable third-party API in an automation workflow. | Are you familiar with Docker or deploying services? If not, what steps would you take to deploy a small automation service to production? | What interests you about automation and AI workflows, and what learning plan would you follow over the next 3–6 months to bridge the skill gaps for this role? | Can you share a link to any code from your portfolio or GitHub that demonstrates integration with external services or non-trivial JavaScript logic? | How would you present the business impact of an automation project to a founder or MD — what metrics would you track and how would you format the summary?</t>
  </si>
  <si>
    <t>Sana Qureshi</t>
  </si>
  <si>
    <t>sana.demo@example.com</t>
  </si>
  <si>
    <t>Jaipur, Rajasthan</t>
  </si>
  <si>
    <t>https://linkedin.com/in/sana-demo</t>
  </si>
  <si>
    <t>https://sana-marketing.demo</t>
  </si>
  <si>
    <t>https://github.com/sana-demo</t>
  </si>
  <si>
    <t>https://drive.google.com/file/d/YOUR_SAMPLE_RESUME_FILE_ID/view?usp=sharing</t>
  </si>
  <si>
    <t>AI Automation Engineer</t>
  </si>
  <si>
    <t>7 days</t>
  </si>
  <si>
    <t>₹40,000/project</t>
  </si>
  <si>
    <t>Contract</t>
  </si>
  <si>
    <t>Marketing outreach automation, Make, Zapier, basic n8n, Google Sheets, Gmail, CRM follow-ups, AI content drafts</t>
  </si>
  <si>
    <t>Built marketing outreach sequence with lead list cleaning, email drafts, follow-up reminders, and reporting.</t>
  </si>
  <si>
    <t>Increased weekly outreach volume and reduced manual tracking.</t>
  </si>
  <si>
    <t>Marketing, Sales</t>
  </si>
  <si>
    <t>Soumodip Manna LinkedIn Post</t>
  </si>
  <si>
    <t>Marketing automation specialist with ~2.3 years of hands-on experience in Make and Zapier, HubSpot integrations, outreach sequencing and reporting. Strong at campaign design, lead cleaning, and measurable outcomes; however lacks production n8n experience, local LLM/RAG work and has limited backend/deployment skills.</t>
  </si>
  <si>
    <t>Proven marketing outreach automation using Make and Zapier (lead cleaning, email drafts, follow-ups)., Strong CRM experience (HubSpot), campaign tracking and reporting (Google Sheets, Looker Studio)., Clear business outcomes: increased outreach volume and reduced manual tracking; communicates results well to stakeholders., Experience using AI tools for copy generation and campaign summarization — practical LLM usage for marketing tasks., Has portfolio, GitHub and LinkedIn for review (demonstrates deliverables).</t>
  </si>
  <si>
    <t>No production n8n experience despite basic familiarity., No local LLM / RAG / vector DB or Ollama/LM Studio experience., Limited backend development experience (Python/Node.js) and no Docker/production deployment evidence., No demonstrated experience with advanced API/OAuth implementations or Microsoft Graph, and limited evidence of handling scale/error handling in workflows.</t>
  </si>
  <si>
    <t>2026-06-26T18:50:35.747Z</t>
  </si>
  <si>
    <t>Sana Qureshi
Marketing Automation Specialist | Outreach, CRM, Reporting
Email: sana.demo@example.com | WhatsApp: +91 90000 00005 | LinkedIn: linkedin.com/in/sana-demo | GitHub:
github.com/sana-demo | Portfolio: sana-marketing.demo
SUMMARY
Marketing automation specialist with 2.3 years of experience in outreach campaigns, CRM cleanup, Google Sheets
dashboards and campaign reporting. Has worked with Zapier, Make, HubSpot and basic API connectors. Familiar with
AI-assisted copy generation and campaign tracking. Limited hands-on work with n8n production workflows, Docker, local
LLMs, RAG or vector databases.
CORE SKILLS
Marketing outreach automation | HubSpot | Google Sheets | Looker Studio | Make.com | Zapier | Email campaigns | Lead
segmentation | Campaign tracking | Basic APIs | AI copy assistance | Reporting dashboards
EXPERIENCE
Marketing Automation Specialist - GrowthMile Agency | 2023 - 2026
• Managed outbound campaign lists, follow-up sequences and campaign performance reporting for B2B clients.
• Used Zapier and Make to connect lead forms, Google Sheets, HubSpot and email tools.
• Built dashboards for open rates, reply rates, booked calls and lead source performance.
• Used AI tools to generate first-draft campaign messages and summarize campaign learnings.
SELECTED PROJECTS
Campaign Tracking Automation
• Connected lead form submissions to HubSpot and Google Sheets, then triggered internal email alerts.
• Result: improved weekly reporting speed and reduced copy-paste work for campaign managers.
Lead Quality Dashboard
• Created a Google Sheets and Looker Studio dashboard to track campaign quality by source and industry.
EDUCATION
• MBA Marketing - 2023
• HubSpot Email Marketing - Certificate
• Google Data Studio Basics - Certificate
Demo note: Fictional resume for testing AI hiring automation. Expected route in demo: Average / Manual Review.</t>
  </si>
  <si>
    <t xml:space="preserve">
You are an expert technical recruiter for AI automation roles.
Hiring context:
The roles are AI Automation Engineer / n8n Automation Developer / AI Automation Expert / Automation Workflow Lead.
Important skills:
- n8n production workflows, Make, Zapier
- AI agents, email classification, reply drafting, sales pipeline automation
- Private RAG knowledge vault, vector DBs, Ollama / LM Studio
- Python or Node.js, JavaScript, REST APIs, webhooks, OAuth, JSON
- Gmail API / Microsoft Graph
- CRM systems: Bitrix24, Zoho, HubSpot or similar
- Finance workflows: invoicing, reminders, reporting
- Marketing outreach sequences and campaign tracking
- WhatsApp automation and CRM lead management
- Docker, deployment, local infrastructure
- Ability to present outcomes to founder / MD
Candidate form details:
Name: Sana Qureshi
Email: sana.demo@example.com
WhatsApp: +919000010005
Role applying for: AI Automation Engineer
Experience years: 2
Notice period: 7 days
Expected salary or charges: ₹40,000/project
Employment type: Contract
Skills checklist: Marketing outreach automation, Make, Zapier, basic n8n, Google Sheets, Gmail, CRM follow-ups, AI content drafts
n8n production experience: No
Local LLM / RAG experience: No
End-to-end automation built: Built marketing outreach sequence with lead list cleaning, email drafts, follow-up reminders, and reporting.
Business outcome: Increased weekly outreach volume and reduced manual tracking.
Portfolio: https://sana-marketing.demo
GitHub: https://github.com/sana-demo
LinkedIn: https://linkedin.com/in/sana-demo
Resume text:
Sana Qureshi
Marketing Automation Specialist | Outreach, CRM, Reporting
Email: sana.demo@example.com | WhatsApp: +91 90000 00005 | LinkedIn: linkedin.com/in/sana-demo | GitHub:
github.com/sana-demo | Portfolio: sana-marketing.demo
SUMMARY
Marketing automation specialist with 2.3 years of experience in outreach campaigns, CRM cleanup, Google Sheets
dashboards and campaign reporting. Has worked with Zapier, Make, HubSpot and basic API connectors. Familiar with
AI-assisted copy generation and campaign tracking. Limited hands-on work with n8n production workflows, Docker, local
LLMs, RAG or vector databases.
CORE SKILLS
Marketing outreach automation | HubSpot | Google Sheets | Looker Studio | Make.com | Zapier | Email campaigns | Lead
segmentation | Campaign tracking | Basic APIs | AI copy assistance | Reporting dashboards
EXPERIENCE
Marketing Automation Specialist - GrowthMile Agency | 2023 - 2026
• Managed outbound campaign lists, follow-up sequences and campaign performance reporting for B2B clients.
• Used Zapier and Make to connect lead forms, Google Sheets, HubSpot and email tools.
• Built dashboards for open rates, reply rates, booked calls and lead source performance.
• Used AI tools to generate first-draft campaign messages and summarize campaign learnings.
SELECTED PROJECTS
Campaign Tracking Automation
• Connected lead form submissions to HubSpot and Google Sheets, then triggered internal email alerts.
• Result: improved weekly reporting speed and reduced copy-paste work for campaign managers.
Lead Quality Dashboard
• Created a Google Sheets and Looker Studio dashboard to track campaign quality by source and industry.
EDUCATION
• MBA Marketing - 2023
• HubSpot Email Marketing - Certificate
• Google Data Studio Basics - Certificate
Demo note: Fictional resume for testing AI hiring automation. Expected route in demo: Average / Manual Review.
Score the candidate from 0 to 100 using this weighting:
1. n8n / workflow automation production experience: 20
2. AI agents + LLM automation: 15
3. RAG + local LLM infrastructure: 15
4. APIs, webhooks, OAuth, Gmail/MS Graph: 15
5. CRM + sales/marketing/finance automation: 15
6. Python/Node.js + Docker/deployment: 10
7. Communication and founder-facing business outcome clarity: 10
Return only valid JSON. No markdown. No text outside JSON.
Required JSON format:
{
  "score": 90,
  "category": "Strong",
  "summary": "Short candidate summary",
  "strengths": ["strength 1", "strength 2"],
  "weaknesses": ["weakness 1", "weakness 2"],
  "recommended_action": "Interview",
  "risk_flags": ["risk 1", "risk 2"],
  "interview_questions": ["question 1", "question 2"]
}
Rules:
- Strong = score 75 or above
- Average = score 50 to 74
- Weak = below 50
- recommended_action must be Interview, Manual Review, or HR Approval Before Rejection
- Do not judge age, gender, religion, caste, location, photo, or personal background.
- Judge only skills, experience, projects, communication, and role fit.
</t>
  </si>
  <si>
    <t>Lack of production n8n experience — ramp-up required for n8n-first roles., No RAG/local LLM or vector DB experience — gap for private-knowledge automation projects., Limited coding and deployment experience — may need engineering support for complex integrations or on-prem deployments.</t>
  </si>
  <si>
    <t>Describe an end-to-end automation you built in Make or Zapier: triggers, key nodes/steps, error handling, and how you validated data quality. | You list basic n8n familiarity but no production experience — how quickly can you build and maintain n8n workflows? Walk me through how you would translate one of your Make/Zapier flows into n8n. | Explain how you would implement an email outreach pipeline integrated with HubSpot and Gmail (or Microsoft Graph): how do you handle authentication, rate limits, bounces, unsubscribes and reply tracking? | Have you implemented OAuth flows or handled token refresh in any integrations? Give a concrete example or describe how you'd implement it. | How do you design webhook listeners and make them idempotent and resilient to duplicate events or delivery failures? | Describe any hands-on experience with LLMs, RAG, or private knowledge bases. If you have none, outline step-by-step how you would implement a private RAG for sales enablement (vector DB choice, ingestion, retrieval, and query flow). | Do you have experience deploying automation tooling (n8n/Make/Zapier connectors) using Docker or CI/CD? If not, how would you prepare a workflow for production deployment and monitoring? | Give a specific example where your automation produced a measurable business outcome (metrics) and how you presented that outcome to founders or senior stakeholders. | How would you approach automating finance workflows like invoicing, payment reminders, and reporting? Mention systems, data flows, and safeguards you’d implement. | Are you comfortable taking short contract projects starting within a 7-day notice period and working under the proposed ₹40,000/project model?</t>
  </si>
  <si>
    <t>Meera Iyer</t>
  </si>
  <si>
    <t>meera.demo@example.com</t>
  </si>
  <si>
    <t>Chennai, Tamil Nadu</t>
  </si>
  <si>
    <t>https://linkedin.com/in/meera-iyer-demo</t>
  </si>
  <si>
    <t>https://meeraiyer-demo.dev</t>
  </si>
  <si>
    <t>https://github.com/meera-iyer-demo</t>
  </si>
  <si>
    <t>https://drive.google.com/file/d/YOUR_SAMPLE_RESUME_FILE_ID/view?usp=sharing</t>
  </si>
  <si>
    <t>₹18-22 LPA</t>
  </si>
  <si>
    <t>n8n, Make, Zapier, AI agents, RAG + vector DBs, Ollama / LM Studio, Python, Node.js / JavaScript, REST APIs, Webhooks, OAuth, Gmail API / MS Graph, PostgreSQL / MongoDB, Docker, WhatsApp automation, Finance workflows, Sales pipeline automation, Marketing outreach automation</t>
  </si>
  <si>
    <t>Private AI Knowledge Vault — Built local RAG system for internal policy search using Ollama, pgvector, and n8n orchestration. Reduced repetitive internal support queries by around 45%.</t>
  </si>
  <si>
    <t>Reduced repetitive internal support queries by around 45%.</t>
  </si>
  <si>
    <t>Sales, Marketing, Finance, HR, Operations</t>
  </si>
  <si>
    <t>Payal Nathawat LinkedIn Post</t>
  </si>
  <si>
    <t>Strong</t>
  </si>
  <si>
    <t>Meera is a strong candidate for AI Automation Engineer roles with proven production n8n workflow experience, local RAG/LLM deployment using Ollama and pgvector, measurable business impact (≈45% reduction in repetitive queries), and solid API and automation skills. Good fit for end-to-end automation responsibilities and founder-facing reporting.</t>
  </si>
  <si>
    <t>Proven production n8n workflows for email triage, reply drafting, CRM updates and escalation routing., Built local RAG knowledge vault using Ollama, pgvector and n8n orchestration with a clear business outcome (≈45% reduction in support queries)., Hands-on experience with Gmail API, REST APIs, Docker and PostgreSQL — applicable to integrations and deployments., Demonstrated ability to present founder dashboards and business outcomes (SLA improvement, cost savings, failure rates)., Broad automation skillset including AI agents, email classification, finance and marketing automation and WhatsApp automation listed in skills.</t>
  </si>
  <si>
    <t>Node.js/JavaScript experience is listed but not strongly evidenced in the resume — may need validation of backend JavaScript/Node production work., Specific CRM platform experience (Bitrix24, Zoho, HubSpot) is not detailed — only generic CRM updates mentioned., No explicit mention of Microsoft Graph experience in the resume (Gmail API is present)., Limited detail on scaling, monitoring, and security of the RAG deployment and how embeddings/updates are managed in production.</t>
  </si>
  <si>
    <t>Interview</t>
  </si>
  <si>
    <t>2026-06-26T18:51:01.073Z</t>
  </si>
  <si>
    <t>Meera Iyer
Senior AI Automation Engineer | Chennai, Tamil Nadu | meera.demo@example.com | +91 90000 20001
Profile Summary
AI automation engineer with 5 years of experience building n8n workflows, email classification agents, RAG knowledge bases,
Gmail API integrations, and finance automation systems for operations teams.
Core Skills
n8n, AI agents, RAG + vector DBs, Ollama / LM Studio, Python, REST APIs, Gmail API / MS Graph, Docker, PostgreSQL,
Google Calendar
Experience
AI Automation Engineer — OpsBridge Systems (2022 - Present)
- Built production n8n workflows for email triage, reply drafting, CRM updates, and escalation routing.
- Deployed local RAG knowledge vault using Ollama, embeddings, PostgreSQL, and vector search.
- Created founder dashboards showing workflow volume, SLA improvement, cost savings, and failure rates.
Projects
Private AI Knowledge Vault
- Built local RAG system for internal policy search using Ollama, pgvector, and n8n orchestration.
- Reduced repetitive internal support queries by around 45%.
Tools &amp; Platforms
n8n, Python, Docker, Ollama, PostgreSQL, Gmail API, Google Calendar, REST APIs
Education
B.Tech in Computer Science, Anna University
Demo label for testing: Expected AI category = Strong. This is a fictional resume for automation testing only.</t>
  </si>
  <si>
    <t xml:space="preserve">
You are an expert technical recruiter for AI automation roles.
Hiring context:
The roles are AI Automation Engineer / n8n Automation Developer / AI Automation Expert / Automation Workflow Lead.
Important skills:
- n8n production workflows, Make, Zapier
- AI agents, email classification, reply drafting, sales pipeline automation
- Private RAG knowledge vault, vector DBs, Ollama / LM Studio
- Python or Node.js, JavaScript, REST APIs, webhooks, OAuth, JSON
- Gmail API / Microsoft Graph
- CRM systems: Bitrix24, Zoho, HubSpot or similar
- Finance workflows: invoicing, reminders, reporting
- Marketing outreach sequences and campaign tracking
- WhatsApp automation and CRM lead management
- Docker, deployment, local infrastructure
- Ability to present outcomes to founder / MD
Candidate form details:
Name: Meera Iyer
Email: meera.demo@example.com
WhatsApp: +919000020001
Role applying for: AI Automation Engineer
Experience years: 5
Notice period: Immediate
Expected salary or charges: ₹18-22 LPA
Employment type: Full-time Remote
Skills checklist: n8n, Make, Zapier, AI agents, RAG + vector DBs, Ollama / LM Studio, Python, Node.js / JavaScript, REST APIs, Webhooks, OAuth, Gmail API / MS Graph, PostgreSQL / MongoDB, Docker, WhatsApp automation, Finance workflows, Sales pipeline automation, Marketing outreach automation
n8n production experience: Yes
Local LLM / RAG experience: Yes
End-to-end automation built: Private AI Knowledge Vault — Built local RAG system for internal policy search using Ollama, pgvector, and n8n orchestration. Reduced repetitive internal support queries by around 45%.
Business outcome: Reduced repetitive internal support queries by around 45%.
Portfolio: https://meeraiyer-demo.dev
GitHub: https://github.com/meera-iyer-demo
LinkedIn: https://linkedin.com/in/meera-iyer-demo
Resume text:
Meera Iyer
Senior AI Automation Engineer | Chennai, Tamil Nadu | meera.demo@example.com | +91 90000 20001
Profile Summary
AI automation engineer with 5 years of experience building n8n workflows, email classification agents, RAG knowledge bases,
Gmail API integrations, and finance automation systems for operations teams.
Core Skills
n8n, AI agents, RAG + vector DBs, Ollama / LM Studio, Python, REST APIs, Gmail API / MS Graph, Docker, PostgreSQL,
Google Calendar
Experience
AI Automation Engineer — OpsBridge Systems (2022 - Present)
- Built production n8n workflows for email triage, reply drafting, CRM updates, and escalation routing.
- Deployed local RAG knowledge vault using Ollama, embeddings, PostgreSQL, and vector search.
- Created founder dashboards showing workflow volume, SLA improvement, cost savings, and failure rates.
Projects
Private AI Knowledge Vault
- Built local RAG system for internal policy search using Ollama, pgvector, and n8n orchestration.
- Reduced repetitive internal support queries by around 45%.
Tools &amp; Platforms
n8n, Python, Docker, Ollama, PostgreSQL, Gmail API, Google Calendar, REST APIs
Education
B.Tech in Computer Science, Anna University
Demo label for testing: Expected AI category = Strong. This is a fictional resume for automation testing only.
Score the candidate from 0 to 100 using this weighting:
1. n8n / workflow automation production experience: 20
2. AI agents + LLM automation: 15
3. RAG + local LLM infrastructure: 15
4. APIs, webhooks, OAuth, Gmail/MS Graph: 15
5. CRM + sales/marketing/finance automation: 15
6. Python/Node.js + Docker/deployment: 10
7. Communication and founder-facing business outcome clarity: 10
Return only valid JSON. No markdown. No text outside JSON.
Required JSON format:
{
  "score": 90,
  "category": "Strong",
  "summary": "Short candidate summary",
  "strengths": ["strength 1", "strength 2"],
  "weaknesses": ["weakness 1", "weakness 2"],
  "recommended_action": "Interview",
  "risk_flags": ["risk 1", "risk 2"],
  "interview_questions": ["question 1", "question 2"]
}
Rules:
- Strong = score 75 or above
- Average = score 50 to 74
- Weak = below 50
- recommended_action must be Interview, Manual Review, or HR Approval Before Rejection
- Do not judge age, gender, religion, caste, location, photo, or personal background.
- Judge only skills, experience, projects, communication, and role fit.
</t>
  </si>
  <si>
    <t>Microsoft Graph experience not demonstrated — confirm if available., Need to validate depth of Node.js/JavaScript production development and related testing practices., Verify experience with specific CRMs required by our stack (Bitrix24/HubSpot/Zoho) and WhatsApp integration details., Expected salary ₹18-22 LPA — confirm budget alignment.</t>
  </si>
  <si>
    <t>Walk me through one n8n production workflow you built: triggers, nodes used, error handling, retries and how you deployed/maintained it. | Describe the architecture of your Private AI Knowledge Vault: Ollama setup, embedding pipeline, pgvector schema, how you update and reindex documents, and latency observed. | How do you handle sensitive or private data in a local RAG setup? What access controls, encryption, and logging do you implement? | Explain how you integrated Gmail API with n8n or custom code — OAuth flow, token refresh, quota handling, and typical pitfalls you solved. | Give an example of a CRM integration you implemented end-to-end (mapping fields, webhooks, conflict resolution, and rate limits). Which CRM was it and what challenges did you face? | Detail your experience with WhatsApp automation: provider used (e.g., Twilio, Meta), webhook handling, message templates and lead-state mapping to CRM. | Describe a finance automation or invoicing workflow you built: triggers, data sources, reconciliation, retries and alerts. | Which parts of your stack used Python vs Node.js? Share a repo or code sample showing Node.js automation or webhook handling. | How do you monitor and alert for workflow failures and SLA breaches? Walk through the founder dashboard metrics you created and how they are sourced. | What deployment pattern did you use for n8n and your RAG services (Docker Compose, Kubernetes, CI/CD)? How do you handle backups and rollback?</t>
  </si>
  <si>
    <t>YOUR_SAMPLE_RESUME_FILE_ID</t>
  </si>
  <si>
    <t>job_id</t>
  </si>
  <si>
    <t>experience_required</t>
  </si>
  <si>
    <t>must_have_skills</t>
  </si>
  <si>
    <t>good_to_have_skills</t>
  </si>
  <si>
    <t>business_context</t>
  </si>
  <si>
    <t>active</t>
  </si>
  <si>
    <t>JOB-001</t>
  </si>
  <si>
    <t>3-6 years preferred</t>
  </si>
  <si>
    <t>n8n, Ollama / LM Studio, RAG, vector DBs, Python or Node.js, Gmail API / MS Graph, Docker, REST APIs</t>
  </si>
  <si>
    <t>Bitrix24, Zoho CRM, finance workflows, marketing outreach automation</t>
  </si>
  <si>
    <t>Own AI backbone: email classification, reply drafting, sales pipeline, private RAG, finance and marketing workflows</t>
  </si>
  <si>
    <t>JOB-002</t>
  </si>
  <si>
    <t>n8n Automation Developer</t>
  </si>
  <si>
    <t>2-3 years preferred</t>
  </si>
  <si>
    <t>n8n, APIs, CRMs, ERPs, webhooks, JSON, OAuth, JavaScript, PostgreSQL or MongoDB</t>
  </si>
  <si>
    <t>OpenAI, Claude, Gemini, WhatsApp, Telegram, cloud deployment</t>
  </si>
  <si>
    <t>Build scalable workflow automation and maintain existing workflows</t>
  </si>
  <si>
    <t>JOB-003</t>
  </si>
  <si>
    <t>Project based</t>
  </si>
  <si>
    <t>n8n, Make, Zapier, API integrations, webhooks, CRM, WhatsApp workflows</t>
  </si>
  <si>
    <t>Lead management, client automation, AI tools, LLM workflows</t>
  </si>
  <si>
    <t>Freelance/project basis automation expert for service business lead and CRM workflows</t>
  </si>
  <si>
    <t>JOB-004</t>
  </si>
  <si>
    <t>Enterprise scale</t>
  </si>
  <si>
    <t>n8n, Zapier, Make, APIs, Webhooks, OAuth 2.0, JavaScript, Python, Node.js</t>
  </si>
  <si>
    <t>AWS, Azure, GCP, CI/CD, system integrations</t>
  </si>
  <si>
    <t>Remote contract role for enterprise automation workflow leadership</t>
  </si>
  <si>
    <t>criteria</t>
  </si>
  <si>
    <t>weight</t>
  </si>
  <si>
    <t>strong_signal</t>
  </si>
  <si>
    <t>average_signal</t>
  </si>
  <si>
    <t>weak_signal</t>
  </si>
  <si>
    <t>n8n production workflow experience</t>
  </si>
  <si>
    <t>Built and deployed real production workflows</t>
  </si>
  <si>
    <t>Built demos or small internal workflows</t>
  </si>
  <si>
    <t>Only watched tutorials</t>
  </si>
  <si>
    <t>AI agents / LLM integration</t>
  </si>
  <si>
    <t>Built agents using OpenAI/Gemini/Claude/local LLMs</t>
  </si>
  <si>
    <t>Basic API calls or prompt automation</t>
  </si>
  <si>
    <t>No practical AI integration</t>
  </si>
  <si>
    <t>RAG / local LLM / vector DB</t>
  </si>
  <si>
    <t>Ollama/LM Studio + vector DB/RAG deployed</t>
  </si>
  <si>
    <t>Conceptual knowledge or small test</t>
  </si>
  <si>
    <t>No RAG/local LLM knowledge</t>
  </si>
  <si>
    <t>API / Webhook / OAuth</t>
  </si>
  <si>
    <t>Confident with REST APIs, webhooks, OAuth, JSON</t>
  </si>
  <si>
    <t>Basic integrations only</t>
  </si>
  <si>
    <t>No API confidence</t>
  </si>
  <si>
    <t>Business workflow experience</t>
  </si>
  <si>
    <t>Sales, marketing, finance, HR, CRM automation outcomes</t>
  </si>
  <si>
    <t>Some workflow exposure</t>
  </si>
  <si>
    <t>Only technical/devops tasks</t>
  </si>
  <si>
    <t>Presentation to founder/MD</t>
  </si>
  <si>
    <t>Can explain ROI and outcomes clearly</t>
  </si>
  <si>
    <t>Can explain technical flow</t>
  </si>
  <si>
    <t>Cannot present business value</t>
  </si>
  <si>
    <t>category</t>
  </si>
  <si>
    <t>score_range</t>
  </si>
  <si>
    <t>status_to_update</t>
  </si>
  <si>
    <t>candidate_message</t>
  </si>
  <si>
    <t>internal_action</t>
  </si>
  <si>
    <t>75-100</t>
  </si>
  <si>
    <t>Interview Scheduled</t>
  </si>
  <si>
    <t>Shortlisted for interview. Email/calendar invite sent.</t>
  </si>
  <si>
    <t>Create Calendar event + send interview email</t>
  </si>
  <si>
    <t>50-74</t>
  </si>
  <si>
    <t>Application under manual review.</t>
  </si>
  <si>
    <t>Send HR manual review email</t>
  </si>
  <si>
    <t>0-49</t>
  </si>
  <si>
    <t>Reject / HR Approval</t>
  </si>
  <si>
    <t>Rejection Pending HR Approval</t>
  </si>
  <si>
    <t>Application not auto-rejected in production.</t>
  </si>
  <si>
    <t>Send to HR for approval before rejection</t>
  </si>
  <si>
    <t>slot_id</t>
  </si>
  <si>
    <t>date</t>
  </si>
  <si>
    <t>start_time</t>
  </si>
  <si>
    <t>end_time</t>
  </si>
  <si>
    <t>interviewer</t>
  </si>
  <si>
    <t>available</t>
  </si>
  <si>
    <t>SLOT-001</t>
  </si>
  <si>
    <t>HR / Founder</t>
  </si>
  <si>
    <t>Demo slot</t>
  </si>
  <si>
    <t>SLOT-002</t>
  </si>
  <si>
    <t>SLOT-003</t>
  </si>
  <si>
    <t>SLOT-004</t>
  </si>
  <si>
    <t>SLOT-005</t>
  </si>
  <si>
    <t>SLOT-006</t>
  </si>
  <si>
    <t>SLOT-007</t>
  </si>
  <si>
    <t>AI Automation Hiring Dashboard</t>
  </si>
  <si>
    <t>Metric</t>
  </si>
  <si>
    <t>Value</t>
  </si>
  <si>
    <t>Status</t>
  </si>
  <si>
    <t>Count</t>
  </si>
  <si>
    <t>Total Applications</t>
  </si>
  <si>
    <t>Strong Candidates</t>
  </si>
  <si>
    <t>Average Candidates</t>
  </si>
  <si>
    <t>Weak Candidates</t>
  </si>
  <si>
    <t>Rejected</t>
  </si>
  <si>
    <t>Interviews Scheduled</t>
  </si>
  <si>
    <t>Hired</t>
  </si>
  <si>
    <t>On Hold</t>
  </si>
  <si>
    <t>value</t>
  </si>
  <si>
    <t>Job Roles</t>
  </si>
  <si>
    <t>Skills</t>
  </si>
  <si>
    <t>n8n</t>
  </si>
  <si>
    <t>Make</t>
  </si>
  <si>
    <t>Zapier</t>
  </si>
  <si>
    <t>AI agents</t>
  </si>
  <si>
    <t>RAG + vector DBs</t>
  </si>
  <si>
    <t>Ollama / LM Studio</t>
  </si>
  <si>
    <t>Python</t>
  </si>
  <si>
    <t>Node.js / JavaScript</t>
  </si>
  <si>
    <t>REST APIs</t>
  </si>
  <si>
    <t>Webhooks</t>
  </si>
  <si>
    <t>OAuth</t>
  </si>
  <si>
    <t>Gmail API / MS Graph</t>
  </si>
  <si>
    <t>Bitrix24 / Zoho CRM</t>
  </si>
  <si>
    <t>PostgreSQL / MongoDB</t>
  </si>
  <si>
    <t>Docker</t>
  </si>
  <si>
    <t>WhatsApp automation</t>
  </si>
  <si>
    <t>Finance workflows</t>
  </si>
  <si>
    <t>Sales pipeline automation</t>
  </si>
  <si>
    <t>Marketing outreach automation</t>
  </si>
  <si>
    <t>Notice Period</t>
  </si>
  <si>
    <t>15 days</t>
  </si>
  <si>
    <t>45 days</t>
  </si>
  <si>
    <t>60 days</t>
  </si>
  <si>
    <t>90 days</t>
  </si>
  <si>
    <t>Source Post</t>
  </si>
  <si>
    <t>Himanshu Gupta LinkedIn Post</t>
  </si>
  <si>
    <t>Other</t>
  </si>
  <si>
    <t>Item</t>
  </si>
  <si>
    <t>Form Public URL</t>
  </si>
  <si>
    <t>YOUR_GOOGLE_FORM_PUBLIC_URL</t>
  </si>
  <si>
    <t>Form Edit URL</t>
  </si>
  <si>
    <t>YOUR_GOOGLE_FORM_EDIT_URL</t>
  </si>
  <si>
    <t>Form ID</t>
  </si>
  <si>
    <t>YOUR_GOOGLE_FORM_ID</t>
  </si>
  <si>
    <t>Spreadsheet ID</t>
  </si>
  <si>
    <t>16oEaZtVbz2vsAUDeG58uFrzWBGPMHPpd6F7Rdn9yKq0</t>
  </si>
  <si>
    <t>Connected Sheet</t>
  </si>
  <si>
    <t>AI_Automation_Hiring</t>
  </si>
  <si>
    <t>FORM CREATED SUCCESSFULLY</t>
  </si>
  <si>
    <t>Created At</t>
  </si>
  <si>
    <t>AI Automation Hiring Demo - README</t>
  </si>
  <si>
    <t>Use this Google Sheet with your n8n AI resume screening workflow.</t>
  </si>
  <si>
    <t>Main n8n tab</t>
  </si>
  <si>
    <t>Applications</t>
  </si>
  <si>
    <t>Required flow</t>
  </si>
  <si>
    <t>Google Form → Apps Script → Applications sheet → n8n → AI scoring → routing</t>
  </si>
  <si>
    <t>Important</t>
  </si>
  <si>
    <t>Do not use the raw Google Form responses tab in n8n. Use Applications only.</t>
  </si>
  <si>
    <t>Upload demo resumes to Google Drive and paste public PDF links in resume_link column.</t>
  </si>
  <si>
    <t>WhatsApp and phone columns are formatted as plain text to prevent +91 #ERROR issues.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</si>
</sst>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hh:mm"/>
    <numFmt numFmtId="165" formatCode="dd-mmm-yyyy"/>
    <numFmt numFmtId="166" formatCode="hh:mm"/>
  </numFmts>
  <fonts count="13">
    <font>
      <sz val="11.0"/>
      <color rgb="FF000000"/>
      <name val="Carlito"/>
      <scheme val="minor"/>
    </font>
    <font>
      <b/>
      <color rgb="FFFFFFFF"/>
      <name val="Montserrat"/>
    </font>
    <font>
      <b/>
      <sz val="10.0"/>
      <color rgb="FFFFFFFF"/>
      <name val="Montserrat"/>
    </font>
    <font>
      <sz val="10.0"/>
      <color rgb="FF1A1B1F"/>
      <name val="Roboto"/>
    </font>
    <font>
      <u/>
      <sz val="10.0"/>
      <color rgb="FF1A1B1F"/>
      <name val="Roboto"/>
    </font>
    <font>
      <u/>
      <sz val="10.0"/>
      <color rgb="FF1A1B1F"/>
      <name val="Roboto"/>
    </font>
    <font>
      <u/>
      <sz val="10.0"/>
      <color rgb="FF1A1B1F"/>
      <name val="Roboto"/>
    </font>
    <font>
      <u/>
      <sz val="10.0"/>
      <color rgb="FF1A1B1F"/>
      <name val="Roboto"/>
    </font>
    <font>
      <b/>
      <color rgb="FFFFFFFF"/>
      <name val="Carlito"/>
      <scheme val="minor"/>
    </font>
    <font>
      <color theme="1"/>
      <name val="Carlito"/>
      <scheme val="minor"/>
    </font>
    <font>
      <b/>
      <sz val="16.0"/>
      <color rgb="FFFFFFFF"/>
      <name val="Carlito"/>
      <scheme val="minor"/>
    </font>
    <font>
      <u/>
      <color rgb="FF0000FF"/>
    </font>
    <font>
      <b/>
      <sz val="16.0"/>
      <color rgb="FF102040"/>
      <name val="Carlito"/>
      <scheme val="minor"/>
    </font>
  </fonts>
  <fills count="5">
    <fill>
      <patternFill patternType="none"/>
    </fill>
    <fill>
      <patternFill patternType="lightGray"/>
    </fill>
    <fill>
      <patternFill patternType="solid">
        <fgColor rgb="FF435E91"/>
        <bgColor rgb="FF435E91"/>
      </patternFill>
    </fill>
    <fill>
      <patternFill patternType="solid">
        <fgColor rgb="FF102040"/>
        <bgColor rgb="FF102040"/>
      </patternFill>
    </fill>
    <fill>
      <patternFill patternType="solid">
        <fgColor rgb="FF0458D6"/>
        <bgColor rgb="FF0458D6"/>
      </patternFill>
    </fill>
  </fills>
  <borders count="1">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horizontal="left" readingOrder="0" vertical="center"/>
    </xf>
    <xf borderId="0" fillId="2" fontId="1" numFmtId="0" xfId="0" applyAlignment="1" applyFont="1">
      <alignment horizontal="left" readingOrder="0" shrinkToFit="0" vertical="center" wrapText="0"/>
    </xf>
    <xf borderId="0" fillId="2" fontId="1" numFmtId="0" xfId="0" applyAlignment="1" applyFont="1">
      <alignment horizontal="left" readingOrder="0" shrinkToFit="0" vertical="center" wrapText="1"/>
    </xf>
    <xf borderId="0" fillId="2" fontId="2" numFmtId="0" xfId="0" applyAlignment="1" applyFont="1">
      <alignment horizontal="left" readingOrder="0" shrinkToFit="0" vertical="center" wrapText="1"/>
    </xf>
    <xf borderId="0" fillId="2" fontId="2" numFmtId="0" xfId="0" applyAlignment="1" applyFont="1">
      <alignment horizontal="left" readingOrder="0" shrinkToFit="0" vertical="center" wrapText="0"/>
    </xf>
    <xf borderId="0" fillId="0" fontId="3" numFmtId="164" xfId="0" applyAlignment="1" applyFont="1" applyNumberFormat="1">
      <alignment horizontal="left" readingOrder="0" vertical="center"/>
    </xf>
    <xf borderId="0" fillId="0" fontId="3" numFmtId="0" xfId="0" applyAlignment="1" applyFont="1">
      <alignment horizontal="left" readingOrder="0" vertical="center"/>
    </xf>
    <xf borderId="0" fillId="0" fontId="3" numFmtId="49" xfId="0" applyAlignment="1" applyFont="1" applyNumberFormat="1">
      <alignment horizontal="left" readingOrder="0" vertical="center"/>
    </xf>
    <xf borderId="0" fillId="0" fontId="4" numFmtId="49" xfId="0" applyAlignment="1" applyFont="1" applyNumberFormat="1">
      <alignment horizontal="left" readingOrder="0" vertical="center"/>
    </xf>
    <xf borderId="0" fillId="0" fontId="5" numFmtId="49" xfId="0" applyAlignment="1" applyFont="1" applyNumberFormat="1">
      <alignment horizontal="left" readingOrder="0" shrinkToFit="0" vertical="center" wrapText="0"/>
    </xf>
    <xf borderId="0" fillId="0" fontId="3" numFmtId="0" xfId="0" applyAlignment="1" applyFont="1">
      <alignment horizontal="left" readingOrder="0" shrinkToFit="0" vertical="center" wrapText="0"/>
    </xf>
    <xf borderId="0" fillId="0" fontId="3" numFmtId="0" xfId="0" applyAlignment="1" applyFont="1">
      <alignment horizontal="left" readingOrder="0" shrinkToFit="0" vertical="center" wrapText="1"/>
    </xf>
    <xf borderId="0" fillId="0" fontId="3" numFmtId="0" xfId="0" applyAlignment="1" applyFont="1">
      <alignment horizontal="left" readingOrder="0" vertical="center"/>
    </xf>
    <xf borderId="0" fillId="0" fontId="3" numFmtId="0" xfId="0" applyAlignment="1" applyFont="1">
      <alignment horizontal="left" vertical="center"/>
    </xf>
    <xf borderId="0" fillId="0" fontId="3" numFmtId="0" xfId="0" applyAlignment="1" applyFont="1">
      <alignment horizontal="left" shrinkToFit="0" vertical="center" wrapText="1"/>
    </xf>
    <xf borderId="0" fillId="0" fontId="3" numFmtId="0" xfId="0" applyAlignment="1" applyFont="1">
      <alignment horizontal="left" shrinkToFit="0" vertical="center" wrapText="0"/>
    </xf>
    <xf quotePrefix="1" borderId="0" fillId="0" fontId="3" numFmtId="49" xfId="0" applyAlignment="1" applyFont="1" applyNumberFormat="1">
      <alignment horizontal="left" readingOrder="0" vertical="center"/>
    </xf>
    <xf borderId="0" fillId="0" fontId="6" numFmtId="0" xfId="0" applyAlignment="1" applyFont="1">
      <alignment horizontal="left" readingOrder="0" vertical="center"/>
    </xf>
    <xf borderId="0" fillId="0" fontId="7" numFmtId="0" xfId="0" applyAlignment="1" applyFont="1">
      <alignment horizontal="left" readingOrder="0" shrinkToFit="0" vertical="center" wrapText="0"/>
    </xf>
    <xf borderId="0" fillId="0" fontId="3" numFmtId="164" xfId="0" applyAlignment="1" applyFont="1" applyNumberFormat="1">
      <alignment horizontal="left" vertical="center"/>
    </xf>
    <xf borderId="0" fillId="3" fontId="8" numFmtId="0" xfId="0" applyAlignment="1" applyFill="1" applyFont="1">
      <alignment horizontal="center" readingOrder="0" shrinkToFit="0" wrapText="1"/>
    </xf>
    <xf borderId="0" fillId="0" fontId="9" numFmtId="0" xfId="0" applyFont="1"/>
    <xf borderId="0" fillId="0" fontId="9" numFmtId="0" xfId="0" applyAlignment="1" applyFont="1">
      <alignment readingOrder="0"/>
    </xf>
    <xf borderId="0" fillId="0" fontId="9" numFmtId="9" xfId="0" applyAlignment="1" applyFont="1" applyNumberFormat="1">
      <alignment readingOrder="0"/>
    </xf>
    <xf borderId="0" fillId="0" fontId="9" numFmtId="9" xfId="0" applyFont="1" applyNumberFormat="1"/>
    <xf borderId="0" fillId="0" fontId="9" numFmtId="165" xfId="0" applyAlignment="1" applyFont="1" applyNumberFormat="1">
      <alignment readingOrder="0"/>
    </xf>
    <xf borderId="0" fillId="0" fontId="9" numFmtId="166" xfId="0" applyAlignment="1" applyFont="1" applyNumberFormat="1">
      <alignment readingOrder="0"/>
    </xf>
    <xf borderId="0" fillId="0" fontId="9" numFmtId="165" xfId="0" applyFont="1" applyNumberFormat="1"/>
    <xf borderId="0" fillId="3" fontId="10" numFmtId="0" xfId="0" applyAlignment="1" applyFont="1">
      <alignment horizontal="center" readingOrder="0"/>
    </xf>
    <xf borderId="0" fillId="0" fontId="9" numFmtId="1" xfId="0" applyFont="1" applyNumberFormat="1"/>
    <xf borderId="0" fillId="4" fontId="8" numFmtId="0" xfId="0" applyAlignment="1" applyFill="1" applyFont="1">
      <alignment readingOrder="0"/>
    </xf>
    <xf borderId="0" fillId="4" fontId="8" numFmtId="1" xfId="0" applyAlignment="1" applyFont="1" applyNumberFormat="1">
      <alignment readingOrder="0"/>
    </xf>
    <xf borderId="0" fillId="3" fontId="8" numFmtId="0" xfId="0" applyAlignment="1" applyFont="1">
      <alignment readingOrder="0"/>
    </xf>
    <xf borderId="0" fillId="0" fontId="11" numFmtId="0" xfId="0" applyAlignment="1" applyFont="1">
      <alignment readingOrder="0"/>
    </xf>
    <xf borderId="0" fillId="0" fontId="9" numFmtId="14" xfId="0" applyAlignment="1" applyFont="1" applyNumberFormat="1">
      <alignment readingOrder="0"/>
    </xf>
    <xf borderId="0" fillId="0" fontId="9" numFmtId="0" xfId="0" applyFont="1"/>
    <xf borderId="0" fillId="0" fontId="9" numFmtId="14" xfId="0" applyFont="1" applyNumberFormat="1"/>
    <xf borderId="0" fillId="0" fontId="12" numFmtId="0" xfId="0" applyAlignment="1" applyFont="1">
      <alignment readingOrder="0"/>
    </xf>
  </cellXfs>
  <cellStyles count="1">
    <cellStyle xfId="0" name="Normal" builtinId="0"/>
  </cellStyles>
  <dxfs count="3">
    <dxf>
      <font/>
      <fill>
        <patternFill patternType="none"/>
      </fill>
      <border/>
    </dxf>
    <dxf>
      <font/>
      <fill>
        <patternFill patternType="solid">
          <fgColor rgb="FFF8F8FF"/>
          <bgColor rgb="FFF8F8FF"/>
        </patternFill>
      </fill>
      <border/>
    </dxf>
    <dxf>
      <font/>
      <fill>
        <patternFill patternType="solid">
          <fgColor rgb="FFFFFFFF"/>
          <bgColor rgb="FFFFFFFF"/>
        </patternFill>
      </fill>
      <border/>
    </dxf>
  </dxfs>
  <tableStyles count="1">
    <tableStyle count="2" pivot="0" name="Application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Candidate Pipeline</a:t>
            </a:r>
          </a:p>
        </c:rich>
      </c:tx>
      <c:overlay val="0"/>
    </c:title>
    <c:plotArea>
      <c:layout/>
      <c:barChart>
        <c:barDir val="col"/>
        <c:ser>
          <c:idx val="0"/>
          <c:order val="0"/>
          <c:tx>
            <c:v>Series 1</c:v>
          </c:tx>
          <c:spPr>
            <a:solidFill>
              <a:schemeClr val="accent1"/>
            </a:solidFill>
            <a:ln cmpd="sng">
              <a:noFill/>
            </a:ln>
          </c:spPr>
          <c:cat>
            <c:strRef>
              <c:f>Dashboard!$A$4:$A$11</c:f>
            </c:strRef>
          </c:cat>
          <c:val>
            <c:numRef>
              <c:f>Dashboard!$B$4:$B$11</c:f>
              <c:numCache/>
            </c:numRef>
          </c:val>
        </c:ser>
        <c:axId val="402844431"/>
        <c:axId val="1537550504"/>
      </c:barChart>
      <c:catAx>
        <c:axId val="40284443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1537550504"/>
      </c:catAx>
      <c:valAx>
        <c:axId val="153755050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tickLblPos val="nextTo"/>
        <c:spPr>
          <a:ln>
            <a:noFill/>
          </a:ln>
        </c:spPr>
        <c:txPr>
          <a:bodyPr/>
          <a:lstStyle/>
          <a:p>
            <a:pPr lvl="0">
              <a:defRPr b="0">
                <a:solidFill>
                  <a:srgbClr val="000000"/>
                </a:solidFill>
                <a:latin typeface="+mn-lt"/>
              </a:defRPr>
            </a:pPr>
          </a:p>
        </c:txPr>
        <c:crossAx val="402844431"/>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Applications by Role</a:t>
            </a:r>
          </a:p>
        </c:rich>
      </c:tx>
      <c:overlay val="0"/>
    </c:title>
    <c:plotArea>
      <c:layout/>
      <c:barChart>
        <c:barDir val="col"/>
        <c:ser>
          <c:idx val="0"/>
          <c:order val="0"/>
          <c:cat>
            <c:strRef>
              <c:f>Dashboard!$E$4:$E$11</c:f>
            </c:strRef>
          </c:cat>
          <c:val>
            <c:numRef>
              <c:f>Dashboard!$F$4:$F$7</c:f>
              <c:numCache/>
            </c:numRef>
          </c:val>
        </c:ser>
        <c:axId val="1612419346"/>
        <c:axId val="509165818"/>
      </c:barChart>
      <c:catAx>
        <c:axId val="161241934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none"/>
        <c:minorTickMark val="none"/>
        <c:spPr>
          <a:ln>
            <a:noFill/>
          </a:ln>
        </c:spPr>
        <c:txPr>
          <a:bodyPr/>
          <a:lstStyle/>
          <a:p>
            <a:pPr lvl="0">
              <a:defRPr b="0">
                <a:solidFill>
                  <a:srgbClr val="000000"/>
                </a:solidFill>
                <a:latin typeface="+mn-lt"/>
              </a:defRPr>
            </a:pPr>
          </a:p>
        </c:txPr>
        <c:crossAx val="509165818"/>
      </c:catAx>
      <c:valAx>
        <c:axId val="509165818"/>
        <c:scaling>
          <c:orientation val="minMax"/>
        </c:scaling>
        <c:delete val="0"/>
        <c:axPos val="l"/>
        <c:tickLblPos val="nextTo"/>
        <c:spPr>
          <a:ln>
            <a:noFill/>
          </a:ln>
        </c:spPr>
        <c:crossAx val="1612419346"/>
      </c:valAx>
    </c:plotArea>
    <c:legend>
      <c:legendPos val="b"/>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4600575" cy="320040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0</xdr:colOff>
      <xdr:row>19</xdr:row>
      <xdr:rowOff>0</xdr:rowOff>
    </xdr:from>
    <xdr:ext cx="4600575" cy="30003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W100" displayName="Table_1" name="Table_1" id="1">
  <tableColumns count="49">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s>
  <tableStyleInfo name="Application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file/d/12OE9RVyiK_9poDJunuzYB2U6VPnKahjD/view?usp=sharing" TargetMode="External"/><Relationship Id="rId11" Type="http://schemas.openxmlformats.org/officeDocument/2006/relationships/hyperlink" Target="https://github.com/aman-demo" TargetMode="External"/><Relationship Id="rId10" Type="http://schemas.openxmlformats.org/officeDocument/2006/relationships/hyperlink" Target="https://aman-web.demo" TargetMode="External"/><Relationship Id="rId21" Type="http://schemas.openxmlformats.org/officeDocument/2006/relationships/drawing" Target="../drawings/drawing1.xml"/><Relationship Id="rId13" Type="http://schemas.openxmlformats.org/officeDocument/2006/relationships/hyperlink" Target="https://linkedin.com/in/sana-demo" TargetMode="External"/><Relationship Id="rId12" Type="http://schemas.openxmlformats.org/officeDocument/2006/relationships/hyperlink" Target="https://drive.google.com/file/d/19wDfoHHyTTRZBn3jEY8-0WzQ8yZFV6h2/view?usp=sharing" TargetMode="External"/><Relationship Id="rId23" Type="http://schemas.openxmlformats.org/officeDocument/2006/relationships/table" Target="../tables/table1.xml"/><Relationship Id="rId1" Type="http://schemas.openxmlformats.org/officeDocument/2006/relationships/hyperlink" Target="https://linkedin.com/in/priya-demo" TargetMode="External"/><Relationship Id="rId2" Type="http://schemas.openxmlformats.org/officeDocument/2006/relationships/hyperlink" Target="https://priya-ops.demo" TargetMode="External"/><Relationship Id="rId3" Type="http://schemas.openxmlformats.org/officeDocument/2006/relationships/hyperlink" Target="https://github.com/priya-demo" TargetMode="External"/><Relationship Id="rId4" Type="http://schemas.openxmlformats.org/officeDocument/2006/relationships/hyperlink" Target="https://drive.google.com/file/d/1ZmORJXwlMIqXhF27ZJBWGg8znIPlC2nI/view?usp=sharing" TargetMode="External"/><Relationship Id="rId9" Type="http://schemas.openxmlformats.org/officeDocument/2006/relationships/hyperlink" Target="https://linkedin.com/in/aman-demo" TargetMode="External"/><Relationship Id="rId15" Type="http://schemas.openxmlformats.org/officeDocument/2006/relationships/hyperlink" Target="https://github.com/sana-demo" TargetMode="External"/><Relationship Id="rId14" Type="http://schemas.openxmlformats.org/officeDocument/2006/relationships/hyperlink" Target="https://sana-marketing.demo" TargetMode="External"/><Relationship Id="rId17" Type="http://schemas.openxmlformats.org/officeDocument/2006/relationships/hyperlink" Target="https://linkedin.com/in/meera-iyer-demo" TargetMode="External"/><Relationship Id="rId16" Type="http://schemas.openxmlformats.org/officeDocument/2006/relationships/hyperlink" Target="https://drive.google.com/file/d/1VGFMXOlu28K49GR46B4YqfXd2knvbj9b/view?usp=sharing" TargetMode="External"/><Relationship Id="rId5" Type="http://schemas.openxmlformats.org/officeDocument/2006/relationships/hyperlink" Target="https://linkedin.com/in/priya-demo" TargetMode="External"/><Relationship Id="rId19" Type="http://schemas.openxmlformats.org/officeDocument/2006/relationships/hyperlink" Target="https://github.com/meera-iyer-demo" TargetMode="External"/><Relationship Id="rId6" Type="http://schemas.openxmlformats.org/officeDocument/2006/relationships/hyperlink" Target="https://priya-ops.demo" TargetMode="External"/><Relationship Id="rId18" Type="http://schemas.openxmlformats.org/officeDocument/2006/relationships/hyperlink" Target="https://meeraiyer-demo.dev" TargetMode="External"/><Relationship Id="rId7" Type="http://schemas.openxmlformats.org/officeDocument/2006/relationships/hyperlink" Target="https://github.com/priya-demo" TargetMode="External"/><Relationship Id="rId8" Type="http://schemas.openxmlformats.org/officeDocument/2006/relationships/hyperlink" Target="https://drive.google.com/file/d/1ZmORJXwlMIqXhF27ZJBWGg8znIPlC2nI/view?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docs.google.com/forms/d/e/1FAIpQLSckhYYOud8l1HlsmIZMwxI3gd3rkVBZSreuN9uq8UCqbrOK5Q/viewform" TargetMode="External"/><Relationship Id="rId2" Type="http://schemas.openxmlformats.org/officeDocument/2006/relationships/hyperlink" Target="https://docs.google.com/forms/d/1Q6U5Az9k2A5ufbPBPcgGeiWOO2ZIZyGh-tqN0MKpyiE/edit"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ns1="http://schemas.openxmlformats.org/officeDocument/2006/relationships">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0"/>
  <cols>
    <col customWidth="1" min="1" max="2" width="18.88"/>
    <col customWidth="1" min="3" max="3" width="20.5"/>
    <col customWidth="1" min="4" max="5" width="18.88"/>
    <col customWidth="1" min="6" max="6" width="21.38"/>
    <col customWidth="1" min="7" max="7" width="22.38"/>
    <col customWidth="1" min="8" max="8" width="18.88"/>
    <col customWidth="1" min="9" max="9" width="29.88"/>
    <col customWidth="1" min="10" max="10" width="19.25"/>
    <col customWidth="1" min="11" max="11" width="21.13"/>
    <col customWidth="1" min="12" max="12" width="18.88"/>
    <col customWidth="1" min="13" max="13" width="32.38"/>
    <col customWidth="1" min="14" max="14" width="19.63"/>
    <col customWidth="1" min="15" max="15" width="18.88"/>
    <col customWidth="1" min="16" max="18" width="37.63"/>
    <col customWidth="1" min="19" max="19" width="35.25"/>
    <col customWidth="1" min="20" max="20" width="29.88"/>
    <col customWidth="1" min="21" max="21" width="37.63"/>
    <col customWidth="1" min="22" max="22" width="36.88"/>
    <col customWidth="1" min="23" max="49" width="18.88"/>
  </cols>
  <sheetData>
    <row r="1" ht="26.25" customHeight="1">
      <c r="A1" s="1" t="s">
        <v>0</v>
      </c>
      <c r="B1" s="1" t="s">
        <v>1</v>
      </c>
      <c r="C1" s="1" t="s">
        <v>2</v>
      </c>
      <c r="D1" s="1" t="s">
        <v>3</v>
      </c>
      <c r="E1" s="1" t="s">
        <v>4</v>
      </c>
      <c r="F1" s="1" t="s">
        <v>5</v>
      </c>
      <c r="G1" s="2" t="s">
        <v>6</v>
      </c>
      <c r="H1" s="2" t="s">
        <v>7</v>
      </c>
      <c r="I1" s="2" t="s">
        <v>8</v>
      </c>
      <c r="J1" s="2" t="s">
        <v>9</v>
      </c>
      <c r="K1" s="1" t="s">
        <v>10</v>
      </c>
      <c r="L1" s="1" t="s">
        <v>11</v>
      </c>
      <c r="M1" s="1" t="s">
        <v>12</v>
      </c>
      <c r="N1" s="1" t="s">
        <v>13</v>
      </c>
      <c r="O1" s="1" t="s">
        <v>14</v>
      </c>
      <c r="P1" s="3" t="s">
        <v>15</v>
      </c>
      <c r="Q1" s="1" t="s">
        <v>16</v>
      </c>
      <c r="R1" s="1" t="s">
        <v>17</v>
      </c>
      <c r="S1" s="3" t="s">
        <v>18</v>
      </c>
      <c r="T1" s="3" t="s">
        <v>19</v>
      </c>
      <c r="U1" s="3" t="s">
        <v>20</v>
      </c>
      <c r="V1" s="1" t="s">
        <v>21</v>
      </c>
      <c r="W1" s="1"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5" t="s">
        <v>41</v>
      </c>
      <c r="AQ1" s="5" t="s">
        <v>42</v>
      </c>
      <c r="AR1" s="4" t="s">
        <v>43</v>
      </c>
      <c r="AS1" s="4" t="s">
        <v>44</v>
      </c>
      <c r="AT1" s="4" t="s">
        <v>45</v>
      </c>
      <c r="AU1" s="4" t="s">
        <v>46</v>
      </c>
      <c r="AV1" s="4" t="s">
        <v>47</v>
      </c>
      <c r="AW1" s="4" t="s">
        <v>48</v>
      </c>
    </row>
    <row r="2" ht="26.25" customHeight="1">
      <c r="A2" s="6">
        <v>46199.444444444445</v>
      </c>
      <c r="B2" s="7" t="s">
        <v>49</v>
      </c>
      <c r="C2" s="7" t="s">
        <v>50</v>
      </c>
      <c r="D2" s="8">
        <v>919000010003</v>
      </c>
      <c r="E2" s="8" t="inlineStr">
        <is>
          <t>+91 90000 10003</t>
        </is>
      </c>
      <c r="F2" s="7" t="s">
        <v>51</v>
      </c>
      <c r="G2" s="9" t="s">
        <v>52</v>
      </c>
      <c r="H2" s="10" t="s">
        <v>53</v>
      </c>
      <c r="I2" s="10" t="s">
        <v>54</v>
      </c>
      <c r="J2" s="10" t="s">
        <v>55</v>
      </c>
      <c r="K2" s="11" t="s">
        <v>56</v>
      </c>
      <c r="L2" s="7">
        <v>2.0</v>
      </c>
      <c r="M2" s="7" t="s">
        <v>57</v>
      </c>
      <c r="N2" s="7" t="s">
        <v>58</v>
      </c>
      <c r="O2" s="7" t="s">
        <v>59</v>
      </c>
      <c r="P2" s="7" t="s">
        <v>60</v>
      </c>
      <c r="Q2" s="12" t="s">
        <v>61</v>
      </c>
      <c r="R2" s="7" t="s">
        <v>61</v>
      </c>
      <c r="S2" s="7" t="s">
        <v>62</v>
      </c>
      <c r="T2" s="12" t="s">
        <v>63</v>
      </c>
      <c r="U2" s="12" t="s">
        <v>64</v>
      </c>
      <c r="V2" s="12" t="s">
        <v>65</v>
      </c>
      <c r="W2" s="7" t="s">
        <v>65</v>
      </c>
      <c r="X2" s="7" t="s">
        <v>66</v>
      </c>
      <c r="Y2" s="7" t="b">
        <v>1</v>
      </c>
      <c r="Z2" s="7" t="s">
        <v>67</v>
      </c>
      <c r="AA2" s="13">
        <v>53.0</v>
      </c>
      <c r="AB2" s="7" t="s">
        <v>68</v>
      </c>
      <c r="AC2" s="12" t="s">
        <v>69</v>
      </c>
      <c r="AD2" s="12" t="s">
        <v>70</v>
      </c>
      <c r="AE2" s="12" t="s">
        <v>71</v>
      </c>
      <c r="AF2" s="12" t="s">
        <v>72</v>
      </c>
      <c r="AG2" s="14"/>
      <c r="AH2" s="14"/>
      <c r="AI2" s="15"/>
      <c r="AJ2" s="12" t="s">
        <v>73</v>
      </c>
      <c r="AK2" s="12" t="s">
        <v>74</v>
      </c>
      <c r="AL2" s="12" t="s">
        <v>75</v>
      </c>
      <c r="AM2" s="12" t="s">
        <v>76</v>
      </c>
      <c r="AN2" s="12" t="s">
        <v>77</v>
      </c>
      <c r="AO2" s="14"/>
      <c r="AP2" s="16"/>
      <c r="AQ2" s="16"/>
      <c r="AR2" s="14"/>
      <c r="AS2" s="14"/>
      <c r="AT2" s="7" t="s">
        <v>78</v>
      </c>
      <c r="AU2" s="7"/>
      <c r="AV2" s="7"/>
      <c r="AW2" s="7"/>
    </row>
    <row r="3" ht="26.25" customHeight="1">
      <c r="A3" s="6">
        <v>46199.444444444445</v>
      </c>
      <c r="B3" s="7" t="s">
        <v>49</v>
      </c>
      <c r="C3" s="7" t="s">
        <v>50</v>
      </c>
      <c r="D3" s="17" t="s">
        <v>79</v>
      </c>
      <c r="E3" s="17" t="s">
        <v>79</v>
      </c>
      <c r="F3" s="7" t="s">
        <v>51</v>
      </c>
      <c r="G3" s="9" t="s">
        <v>52</v>
      </c>
      <c r="H3" s="10" t="s">
        <v>53</v>
      </c>
      <c r="I3" s="10" t="s">
        <v>54</v>
      </c>
      <c r="J3" s="10" t="s">
        <v>55</v>
      </c>
      <c r="K3" s="11" t="s">
        <v>56</v>
      </c>
      <c r="L3" s="7">
        <v>2.0</v>
      </c>
      <c r="M3" s="7" t="s">
        <v>57</v>
      </c>
      <c r="N3" s="7" t="s">
        <v>58</v>
      </c>
      <c r="O3" s="7" t="s">
        <v>59</v>
      </c>
      <c r="P3" s="7" t="s">
        <v>60</v>
      </c>
      <c r="Q3" s="12" t="s">
        <v>61</v>
      </c>
      <c r="R3" s="7" t="s">
        <v>61</v>
      </c>
      <c r="S3" s="7" t="s">
        <v>62</v>
      </c>
      <c r="T3" s="12" t="s">
        <v>63</v>
      </c>
      <c r="U3" s="12" t="s">
        <v>64</v>
      </c>
      <c r="V3" s="12" t="s">
        <v>65</v>
      </c>
      <c r="W3" s="7" t="s">
        <v>65</v>
      </c>
      <c r="X3" s="7" t="s">
        <v>66</v>
      </c>
      <c r="Y3" s="7" t="b">
        <v>0</v>
      </c>
      <c r="Z3" s="7" t="s">
        <v>80</v>
      </c>
      <c r="AA3" s="14"/>
      <c r="AB3" s="14"/>
      <c r="AC3" s="15"/>
      <c r="AD3" s="15"/>
      <c r="AE3" s="15"/>
      <c r="AF3" s="15"/>
      <c r="AG3" s="14"/>
      <c r="AH3" s="14"/>
      <c r="AI3" s="15"/>
      <c r="AJ3" s="15"/>
      <c r="AK3" s="15"/>
      <c r="AL3" s="15"/>
      <c r="AM3" s="15"/>
      <c r="AN3" s="15"/>
      <c r="AO3" s="14"/>
      <c r="AP3" s="16"/>
      <c r="AQ3" s="16"/>
      <c r="AR3" s="14"/>
      <c r="AS3" s="14"/>
      <c r="AT3" s="14"/>
      <c r="AU3" s="14"/>
      <c r="AV3" s="14"/>
      <c r="AW3" s="14"/>
    </row>
    <row r="4" ht="26.25" customHeight="1">
      <c r="A4" s="6">
        <v>46199.444444444445</v>
      </c>
      <c r="B4" s="7" t="s">
        <v>81</v>
      </c>
      <c r="C4" s="7" t="s">
        <v>82</v>
      </c>
      <c r="D4" s="8">
        <v>919000010004</v>
      </c>
      <c r="E4" s="8" t="inlineStr">
        <is>
          <t>+91 90000 10004</t>
        </is>
      </c>
      <c r="F4" s="7" t="s">
        <v>83</v>
      </c>
      <c r="G4" s="9" t="s">
        <v>84</v>
      </c>
      <c r="H4" s="10" t="s">
        <v>85</v>
      </c>
      <c r="I4" s="10" t="s">
        <v>86</v>
      </c>
      <c r="J4" s="10" t="s">
        <v>87</v>
      </c>
      <c r="K4" s="11" t="s">
        <v>88</v>
      </c>
      <c r="L4" s="7">
        <v>1.0</v>
      </c>
      <c r="M4" s="7" t="s">
        <v>89</v>
      </c>
      <c r="N4" s="7" t="s">
        <v>90</v>
      </c>
      <c r="O4" s="7" t="s">
        <v>91</v>
      </c>
      <c r="P4" s="7" t="s">
        <v>92</v>
      </c>
      <c r="Q4" s="12" t="s">
        <v>61</v>
      </c>
      <c r="R4" s="7" t="s">
        <v>61</v>
      </c>
      <c r="S4" s="7" t="s">
        <v>93</v>
      </c>
      <c r="T4" s="12" t="s">
        <v>94</v>
      </c>
      <c r="U4" s="12" t="s">
        <v>95</v>
      </c>
      <c r="V4" s="12" t="s">
        <v>61</v>
      </c>
      <c r="W4" s="7" t="s">
        <v>65</v>
      </c>
      <c r="X4" s="7" t="s">
        <v>96</v>
      </c>
      <c r="Y4" s="7" t="b">
        <v>1</v>
      </c>
      <c r="Z4" s="7" t="s">
        <v>67</v>
      </c>
      <c r="AA4" s="13">
        <v>11.0</v>
      </c>
      <c r="AB4" s="7" t="s">
        <v>97</v>
      </c>
      <c r="AC4" s="12" t="s">
        <v>98</v>
      </c>
      <c r="AD4" s="12" t="s">
        <v>99</v>
      </c>
      <c r="AE4" s="12" t="s">
        <v>100</v>
      </c>
      <c r="AF4" s="12" t="s">
        <v>101</v>
      </c>
      <c r="AG4" s="14"/>
      <c r="AH4" s="14"/>
      <c r="AI4" s="15"/>
      <c r="AJ4" s="12" t="s">
        <v>102</v>
      </c>
      <c r="AK4" s="12" t="s">
        <v>103</v>
      </c>
      <c r="AL4" s="12" t="s">
        <v>104</v>
      </c>
      <c r="AM4" s="12" t="s">
        <v>105</v>
      </c>
      <c r="AN4" s="12" t="s">
        <v>106</v>
      </c>
      <c r="AO4" s="14"/>
      <c r="AP4" s="16"/>
      <c r="AQ4" s="16"/>
      <c r="AR4" s="14"/>
      <c r="AS4" s="14"/>
      <c r="AT4" s="14"/>
      <c r="AU4" s="14"/>
      <c r="AV4" s="14"/>
      <c r="AW4" s="14"/>
    </row>
    <row r="5" ht="26.25" customHeight="1">
      <c r="A5" s="6">
        <v>46199.444444444445</v>
      </c>
      <c r="B5" s="7" t="s">
        <v>107</v>
      </c>
      <c r="C5" s="7" t="s">
        <v>108</v>
      </c>
      <c r="D5" s="8">
        <v>919000010005</v>
      </c>
      <c r="E5" s="8" t="inlineStr">
        <is>
          <t>+91 90000 10005</t>
        </is>
      </c>
      <c r="F5" s="7" t="s">
        <v>109</v>
      </c>
      <c r="G5" s="9" t="s">
        <v>110</v>
      </c>
      <c r="H5" s="10" t="s">
        <v>111</v>
      </c>
      <c r="I5" s="10" t="s">
        <v>112</v>
      </c>
      <c r="J5" s="10" t="s">
        <v>113</v>
      </c>
      <c r="K5" s="11" t="s">
        <v>114</v>
      </c>
      <c r="L5" s="7">
        <v>2.0</v>
      </c>
      <c r="M5" s="7" t="s">
        <v>115</v>
      </c>
      <c r="N5" s="7" t="s">
        <v>116</v>
      </c>
      <c r="O5" s="7" t="s">
        <v>117</v>
      </c>
      <c r="P5" s="7" t="s">
        <v>118</v>
      </c>
      <c r="Q5" s="12" t="s">
        <v>61</v>
      </c>
      <c r="R5" s="7" t="s">
        <v>61</v>
      </c>
      <c r="S5" s="7" t="s">
        <v>119</v>
      </c>
      <c r="T5" s="12" t="s">
        <v>120</v>
      </c>
      <c r="U5" s="12" t="s">
        <v>121</v>
      </c>
      <c r="V5" s="12" t="s">
        <v>65</v>
      </c>
      <c r="W5" s="7" t="s">
        <v>65</v>
      </c>
      <c r="X5" s="7" t="s">
        <v>122</v>
      </c>
      <c r="Y5" s="7" t="b">
        <v>1</v>
      </c>
      <c r="Z5" s="7" t="s">
        <v>67</v>
      </c>
      <c r="AA5" s="13">
        <v>54.0</v>
      </c>
      <c r="AB5" s="7" t="s">
        <v>68</v>
      </c>
      <c r="AC5" s="12" t="s">
        <v>123</v>
      </c>
      <c r="AD5" s="12" t="s">
        <v>124</v>
      </c>
      <c r="AE5" s="12" t="s">
        <v>125</v>
      </c>
      <c r="AF5" s="12" t="s">
        <v>72</v>
      </c>
      <c r="AG5" s="14"/>
      <c r="AH5" s="14"/>
      <c r="AI5" s="15"/>
      <c r="AJ5" s="12" t="s">
        <v>126</v>
      </c>
      <c r="AK5" s="12" t="s">
        <v>127</v>
      </c>
      <c r="AL5" s="12" t="s">
        <v>128</v>
      </c>
      <c r="AM5" s="12" t="s">
        <v>129</v>
      </c>
      <c r="AN5" s="12" t="s">
        <v>130</v>
      </c>
      <c r="AO5" s="14"/>
      <c r="AP5" s="16"/>
      <c r="AQ5" s="16"/>
      <c r="AR5" s="14"/>
      <c r="AS5" s="14"/>
      <c r="AT5" s="14"/>
      <c r="AU5" s="14"/>
      <c r="AV5" s="14"/>
      <c r="AW5" s="14"/>
    </row>
    <row r="6" ht="26.25" customHeight="1">
      <c r="A6" s="6">
        <v>46199.25763888889</v>
      </c>
      <c r="B6" s="7" t="s">
        <v>131</v>
      </c>
      <c r="C6" s="7" t="s">
        <v>132</v>
      </c>
      <c r="D6" s="7">
        <v>919000020001</v>
      </c>
      <c r="E6" s="7" t="inlineStr">
        <is>
          <t>+91 90000 20001</t>
        </is>
      </c>
      <c r="F6" s="7" t="s">
        <v>133</v>
      </c>
      <c r="G6" s="18" t="s">
        <v>134</v>
      </c>
      <c r="H6" s="19" t="s">
        <v>135</v>
      </c>
      <c r="I6" s="19" t="s">
        <v>136</v>
      </c>
      <c r="J6" s="19" t="s">
        <v>137</v>
      </c>
      <c r="K6" s="11" t="s">
        <v>114</v>
      </c>
      <c r="L6" s="7">
        <v>5.0</v>
      </c>
      <c r="M6" s="7" t="s">
        <v>89</v>
      </c>
      <c r="N6" s="7" t="s">
        <v>138</v>
      </c>
      <c r="O6" s="7" t="s">
        <v>91</v>
      </c>
      <c r="P6" s="7" t="s">
        <v>139</v>
      </c>
      <c r="Q6" s="12" t="s">
        <v>65</v>
      </c>
      <c r="R6" s="7" t="s">
        <v>65</v>
      </c>
      <c r="S6" s="7" t="s">
        <v>140</v>
      </c>
      <c r="T6" s="12" t="s">
        <v>141</v>
      </c>
      <c r="U6" s="12" t="s">
        <v>142</v>
      </c>
      <c r="V6" s="12" t="s">
        <v>65</v>
      </c>
      <c r="W6" s="7" t="s">
        <v>65</v>
      </c>
      <c r="X6" s="7" t="s">
        <v>143</v>
      </c>
      <c r="Y6" s="7" t="b">
        <v>1</v>
      </c>
      <c r="Z6" s="7" t="s">
        <v>67</v>
      </c>
      <c r="AA6" s="7">
        <v>93.0</v>
      </c>
      <c r="AB6" s="7" t="s">
        <v>144</v>
      </c>
      <c r="AC6" s="12" t="s">
        <v>145</v>
      </c>
      <c r="AD6" s="12" t="s">
        <v>146</v>
      </c>
      <c r="AE6" s="12" t="s">
        <v>147</v>
      </c>
      <c r="AF6" s="12" t="s">
        <v>148</v>
      </c>
      <c r="AG6" s="14"/>
      <c r="AH6" s="14"/>
      <c r="AI6" s="15"/>
      <c r="AJ6" s="12" t="s">
        <v>149</v>
      </c>
      <c r="AK6" s="12" t="s">
        <v>150</v>
      </c>
      <c r="AL6" s="12" t="s">
        <v>151</v>
      </c>
      <c r="AM6" s="12" t="s">
        <v>152</v>
      </c>
      <c r="AN6" s="12" t="s">
        <v>153</v>
      </c>
      <c r="AO6" s="14"/>
      <c r="AP6" s="16"/>
      <c r="AQ6" s="16"/>
      <c r="AR6" s="14"/>
      <c r="AS6" s="14"/>
      <c r="AT6" s="7" t="s">
        <v>154</v>
      </c>
      <c r="AU6" s="7"/>
      <c r="AV6" s="7"/>
      <c r="AW6" s="7"/>
    </row>
    <row r="7" ht="26.25" customHeight="1">
      <c r="A7" s="20"/>
      <c r="B7" s="14"/>
      <c r="C7" s="14"/>
      <c r="D7" s="14"/>
      <c r="E7" s="14"/>
      <c r="F7" s="14"/>
      <c r="G7" s="16"/>
      <c r="H7" s="16"/>
      <c r="I7" s="16"/>
      <c r="J7" s="16"/>
      <c r="K7" s="14"/>
      <c r="L7" s="14"/>
      <c r="M7" s="14"/>
      <c r="N7" s="14"/>
      <c r="O7" s="14"/>
      <c r="P7" s="15"/>
      <c r="Q7" s="14"/>
      <c r="R7" s="14"/>
      <c r="S7" s="15"/>
      <c r="T7" s="15"/>
      <c r="U7" s="15"/>
      <c r="V7" s="14"/>
      <c r="W7" s="14"/>
      <c r="X7" s="14"/>
      <c r="Y7" s="14"/>
      <c r="Z7" s="14"/>
      <c r="AA7" s="14"/>
      <c r="AB7" s="14"/>
      <c r="AC7" s="15"/>
      <c r="AD7" s="15"/>
      <c r="AE7" s="15"/>
      <c r="AF7" s="15"/>
      <c r="AG7" s="14"/>
      <c r="AH7" s="14"/>
      <c r="AI7" s="15"/>
      <c r="AJ7" s="15"/>
      <c r="AK7" s="15"/>
      <c r="AL7" s="15"/>
      <c r="AM7" s="15"/>
      <c r="AN7" s="15"/>
      <c r="AO7" s="14"/>
      <c r="AP7" s="16"/>
      <c r="AQ7" s="16"/>
      <c r="AR7" s="14"/>
      <c r="AS7" s="14"/>
      <c r="AT7" s="14"/>
      <c r="AU7" s="14"/>
      <c r="AV7" s="14"/>
      <c r="AW7" s="14"/>
    </row>
    <row r="8" ht="26.25" customHeight="1">
      <c r="A8" s="20"/>
      <c r="B8" s="14"/>
      <c r="C8" s="14"/>
      <c r="D8" s="14"/>
      <c r="E8" s="14"/>
      <c r="F8" s="14"/>
      <c r="G8" s="16"/>
      <c r="H8" s="16"/>
      <c r="I8" s="16"/>
      <c r="J8" s="16"/>
      <c r="K8" s="14"/>
      <c r="L8" s="14"/>
      <c r="M8" s="14"/>
      <c r="N8" s="14"/>
      <c r="O8" s="14"/>
      <c r="P8" s="15"/>
      <c r="Q8" s="14"/>
      <c r="R8" s="14"/>
      <c r="S8" s="15"/>
      <c r="T8" s="15"/>
      <c r="U8" s="15"/>
      <c r="V8" s="14"/>
      <c r="W8" s="14"/>
      <c r="X8" s="14"/>
      <c r="Y8" s="14"/>
      <c r="Z8" s="14"/>
      <c r="AA8" s="14"/>
      <c r="AB8" s="14"/>
      <c r="AC8" s="15"/>
      <c r="AD8" s="15"/>
      <c r="AE8" s="15"/>
      <c r="AF8" s="15"/>
      <c r="AG8" s="14"/>
      <c r="AH8" s="14"/>
      <c r="AI8" s="15"/>
      <c r="AJ8" s="15"/>
      <c r="AK8" s="15"/>
      <c r="AL8" s="15"/>
      <c r="AM8" s="15"/>
      <c r="AN8" s="15"/>
      <c r="AO8" s="14"/>
      <c r="AP8" s="16"/>
      <c r="AQ8" s="16"/>
      <c r="AR8" s="14"/>
      <c r="AS8" s="14"/>
      <c r="AT8" s="14"/>
      <c r="AU8" s="14"/>
      <c r="AV8" s="14"/>
      <c r="AW8" s="14"/>
    </row>
    <row r="9" ht="26.25" customHeight="1">
      <c r="A9" s="20"/>
      <c r="B9" s="14"/>
      <c r="C9" s="14"/>
      <c r="D9" s="14"/>
      <c r="E9" s="14"/>
      <c r="F9" s="14"/>
      <c r="G9" s="16"/>
      <c r="H9" s="16"/>
      <c r="I9" s="16"/>
      <c r="J9" s="16"/>
      <c r="K9" s="14"/>
      <c r="L9" s="14"/>
      <c r="M9" s="14"/>
      <c r="N9" s="14"/>
      <c r="O9" s="14"/>
      <c r="P9" s="15"/>
      <c r="Q9" s="14"/>
      <c r="R9" s="14"/>
      <c r="S9" s="15"/>
      <c r="T9" s="15"/>
      <c r="U9" s="15"/>
      <c r="V9" s="14"/>
      <c r="W9" s="14"/>
      <c r="X9" s="14"/>
      <c r="Y9" s="14"/>
      <c r="Z9" s="14"/>
      <c r="AA9" s="14"/>
      <c r="AB9" s="14"/>
      <c r="AC9" s="15"/>
      <c r="AD9" s="15"/>
      <c r="AE9" s="15"/>
      <c r="AF9" s="15"/>
      <c r="AG9" s="14"/>
      <c r="AH9" s="14"/>
      <c r="AI9" s="15"/>
      <c r="AJ9" s="15"/>
      <c r="AK9" s="15"/>
      <c r="AL9" s="15"/>
      <c r="AM9" s="15"/>
      <c r="AN9" s="15"/>
      <c r="AO9" s="14"/>
      <c r="AP9" s="16"/>
      <c r="AQ9" s="16"/>
      <c r="AR9" s="14"/>
      <c r="AS9" s="14"/>
      <c r="AT9" s="14"/>
      <c r="AU9" s="14"/>
      <c r="AV9" s="14"/>
      <c r="AW9" s="14"/>
    </row>
    <row r="10" ht="26.25" customHeight="1">
      <c r="A10" s="20"/>
      <c r="B10" s="14"/>
      <c r="C10" s="14"/>
      <c r="D10" s="14"/>
      <c r="E10" s="14"/>
      <c r="F10" s="14"/>
      <c r="G10" s="16"/>
      <c r="H10" s="16"/>
      <c r="I10" s="16"/>
      <c r="J10" s="16"/>
      <c r="K10" s="14"/>
      <c r="L10" s="14"/>
      <c r="M10" s="14"/>
      <c r="N10" s="14"/>
      <c r="O10" s="14"/>
      <c r="P10" s="15"/>
      <c r="Q10" s="14"/>
      <c r="R10" s="14"/>
      <c r="S10" s="15"/>
      <c r="T10" s="15"/>
      <c r="U10" s="15"/>
      <c r="V10" s="14"/>
      <c r="W10" s="14"/>
      <c r="X10" s="14"/>
      <c r="Y10" s="14"/>
      <c r="Z10" s="14"/>
      <c r="AA10" s="14"/>
      <c r="AB10" s="14"/>
      <c r="AC10" s="15"/>
      <c r="AD10" s="15"/>
      <c r="AE10" s="15"/>
      <c r="AF10" s="15"/>
      <c r="AG10" s="14"/>
      <c r="AH10" s="14"/>
      <c r="AI10" s="15"/>
      <c r="AJ10" s="15"/>
      <c r="AK10" s="15"/>
      <c r="AL10" s="15"/>
      <c r="AM10" s="15"/>
      <c r="AN10" s="15"/>
      <c r="AO10" s="14"/>
      <c r="AP10" s="16"/>
      <c r="AQ10" s="16"/>
      <c r="AR10" s="14"/>
      <c r="AS10" s="14"/>
      <c r="AT10" s="14"/>
      <c r="AU10" s="14"/>
      <c r="AV10" s="14"/>
      <c r="AW10" s="14"/>
    </row>
    <row r="11" ht="26.25" customHeight="1">
      <c r="A11" s="20"/>
      <c r="B11" s="14"/>
      <c r="C11" s="14"/>
      <c r="D11" s="14"/>
      <c r="E11" s="14"/>
      <c r="F11" s="14"/>
      <c r="G11" s="16"/>
      <c r="H11" s="16"/>
      <c r="I11" s="16"/>
      <c r="J11" s="16"/>
      <c r="K11" s="14"/>
      <c r="L11" s="14"/>
      <c r="M11" s="14"/>
      <c r="N11" s="14"/>
      <c r="O11" s="14"/>
      <c r="P11" s="15"/>
      <c r="Q11" s="14"/>
      <c r="R11" s="14"/>
      <c r="S11" s="15"/>
      <c r="T11" s="15"/>
      <c r="U11" s="15"/>
      <c r="V11" s="14"/>
      <c r="W11" s="14"/>
      <c r="X11" s="14"/>
      <c r="Y11" s="14"/>
      <c r="Z11" s="14"/>
      <c r="AA11" s="14"/>
      <c r="AB11" s="14"/>
      <c r="AC11" s="15"/>
      <c r="AD11" s="15"/>
      <c r="AE11" s="15"/>
      <c r="AF11" s="15"/>
      <c r="AG11" s="14"/>
      <c r="AH11" s="14"/>
      <c r="AI11" s="15"/>
      <c r="AJ11" s="15"/>
      <c r="AK11" s="15"/>
      <c r="AL11" s="15"/>
      <c r="AM11" s="15"/>
      <c r="AN11" s="15"/>
      <c r="AO11" s="14"/>
      <c r="AP11" s="16"/>
      <c r="AQ11" s="16"/>
      <c r="AR11" s="14"/>
      <c r="AS11" s="14"/>
      <c r="AT11" s="14"/>
      <c r="AU11" s="14"/>
      <c r="AV11" s="14"/>
      <c r="AW11" s="14"/>
    </row>
    <row r="12" ht="26.25" customHeight="1">
      <c r="A12" s="20"/>
      <c r="B12" s="14"/>
      <c r="C12" s="14"/>
      <c r="D12" s="14"/>
      <c r="E12" s="14"/>
      <c r="F12" s="14"/>
      <c r="G12" s="16"/>
      <c r="H12" s="16"/>
      <c r="I12" s="16"/>
      <c r="J12" s="16"/>
      <c r="K12" s="14"/>
      <c r="L12" s="14"/>
      <c r="M12" s="14"/>
      <c r="N12" s="14"/>
      <c r="O12" s="14"/>
      <c r="P12" s="15"/>
      <c r="Q12" s="14"/>
      <c r="R12" s="14"/>
      <c r="S12" s="15"/>
      <c r="T12" s="15"/>
      <c r="U12" s="15"/>
      <c r="V12" s="14"/>
      <c r="W12" s="14"/>
      <c r="X12" s="14"/>
      <c r="Y12" s="14"/>
      <c r="Z12" s="14"/>
      <c r="AA12" s="14"/>
      <c r="AB12" s="14"/>
      <c r="AC12" s="15"/>
      <c r="AD12" s="15"/>
      <c r="AE12" s="15"/>
      <c r="AF12" s="15"/>
      <c r="AG12" s="14"/>
      <c r="AH12" s="14"/>
      <c r="AI12" s="15"/>
      <c r="AJ12" s="15"/>
      <c r="AK12" s="15"/>
      <c r="AL12" s="15"/>
      <c r="AM12" s="15"/>
      <c r="AN12" s="15"/>
      <c r="AO12" s="14"/>
      <c r="AP12" s="16"/>
      <c r="AQ12" s="16"/>
      <c r="AR12" s="14"/>
      <c r="AS12" s="14"/>
      <c r="AT12" s="14"/>
      <c r="AU12" s="14"/>
      <c r="AV12" s="14"/>
      <c r="AW12" s="14"/>
    </row>
    <row r="13" ht="26.25" customHeight="1">
      <c r="A13" s="20"/>
      <c r="B13" s="14"/>
      <c r="C13" s="14"/>
      <c r="D13" s="14"/>
      <c r="E13" s="14"/>
      <c r="F13" s="14"/>
      <c r="G13" s="16"/>
      <c r="H13" s="16"/>
      <c r="I13" s="16"/>
      <c r="J13" s="16"/>
      <c r="K13" s="14"/>
      <c r="L13" s="14"/>
      <c r="M13" s="14"/>
      <c r="N13" s="14"/>
      <c r="O13" s="14"/>
      <c r="P13" s="15"/>
      <c r="Q13" s="14"/>
      <c r="R13" s="14"/>
      <c r="S13" s="15"/>
      <c r="T13" s="15"/>
      <c r="U13" s="15"/>
      <c r="V13" s="14"/>
      <c r="W13" s="14"/>
      <c r="X13" s="14"/>
      <c r="Y13" s="14"/>
      <c r="Z13" s="14"/>
      <c r="AA13" s="14"/>
      <c r="AB13" s="14"/>
      <c r="AC13" s="15"/>
      <c r="AD13" s="15"/>
      <c r="AE13" s="15"/>
      <c r="AF13" s="15"/>
      <c r="AG13" s="14"/>
      <c r="AH13" s="14"/>
      <c r="AI13" s="15"/>
      <c r="AJ13" s="15"/>
      <c r="AK13" s="15"/>
      <c r="AL13" s="15"/>
      <c r="AM13" s="15"/>
      <c r="AN13" s="15"/>
      <c r="AO13" s="14"/>
      <c r="AP13" s="16"/>
      <c r="AQ13" s="16"/>
      <c r="AR13" s="14"/>
      <c r="AS13" s="14"/>
      <c r="AT13" s="14"/>
      <c r="AU13" s="14"/>
      <c r="AV13" s="14"/>
      <c r="AW13" s="14"/>
    </row>
    <row r="14" ht="26.25" customHeight="1">
      <c r="A14" s="20"/>
      <c r="B14" s="14"/>
      <c r="C14" s="14"/>
      <c r="D14" s="14"/>
      <c r="E14" s="14"/>
      <c r="F14" s="14"/>
      <c r="G14" s="16"/>
      <c r="H14" s="16"/>
      <c r="I14" s="16"/>
      <c r="J14" s="16"/>
      <c r="K14" s="14"/>
      <c r="L14" s="14"/>
      <c r="M14" s="14"/>
      <c r="N14" s="14"/>
      <c r="O14" s="14"/>
      <c r="P14" s="15"/>
      <c r="Q14" s="14"/>
      <c r="R14" s="14"/>
      <c r="S14" s="15"/>
      <c r="T14" s="15"/>
      <c r="U14" s="15"/>
      <c r="V14" s="14"/>
      <c r="W14" s="14"/>
      <c r="X14" s="14"/>
      <c r="Y14" s="14"/>
      <c r="Z14" s="14"/>
      <c r="AA14" s="14"/>
      <c r="AB14" s="14"/>
      <c r="AC14" s="15"/>
      <c r="AD14" s="15"/>
      <c r="AE14" s="15"/>
      <c r="AF14" s="15"/>
      <c r="AG14" s="14"/>
      <c r="AH14" s="14"/>
      <c r="AI14" s="15"/>
      <c r="AJ14" s="15"/>
      <c r="AK14" s="15"/>
      <c r="AL14" s="15"/>
      <c r="AM14" s="15"/>
      <c r="AN14" s="15"/>
      <c r="AO14" s="14"/>
      <c r="AP14" s="16"/>
      <c r="AQ14" s="16"/>
      <c r="AR14" s="14"/>
      <c r="AS14" s="14"/>
      <c r="AT14" s="14"/>
      <c r="AU14" s="14"/>
      <c r="AV14" s="14"/>
      <c r="AW14" s="14"/>
    </row>
    <row r="15" ht="26.25" customHeight="1">
      <c r="A15" s="20"/>
      <c r="B15" s="14"/>
      <c r="C15" s="14"/>
      <c r="D15" s="14"/>
      <c r="E15" s="14"/>
      <c r="F15" s="14"/>
      <c r="G15" s="16"/>
      <c r="H15" s="16"/>
      <c r="I15" s="16"/>
      <c r="J15" s="16"/>
      <c r="K15" s="14"/>
      <c r="L15" s="14"/>
      <c r="M15" s="14"/>
      <c r="N15" s="14"/>
      <c r="O15" s="14"/>
      <c r="P15" s="15"/>
      <c r="Q15" s="14"/>
      <c r="R15" s="14"/>
      <c r="S15" s="15"/>
      <c r="T15" s="15"/>
      <c r="U15" s="15"/>
      <c r="V15" s="14"/>
      <c r="W15" s="14"/>
      <c r="X15" s="14"/>
      <c r="Y15" s="14"/>
      <c r="Z15" s="14"/>
      <c r="AA15" s="14"/>
      <c r="AB15" s="14"/>
      <c r="AC15" s="15"/>
      <c r="AD15" s="15"/>
      <c r="AE15" s="15"/>
      <c r="AF15" s="15"/>
      <c r="AG15" s="14"/>
      <c r="AH15" s="14"/>
      <c r="AI15" s="15"/>
      <c r="AJ15" s="15"/>
      <c r="AK15" s="15"/>
      <c r="AL15" s="15"/>
      <c r="AM15" s="15"/>
      <c r="AN15" s="15"/>
      <c r="AO15" s="14"/>
      <c r="AP15" s="16"/>
      <c r="AQ15" s="16"/>
      <c r="AR15" s="14"/>
      <c r="AS15" s="14"/>
      <c r="AT15" s="14"/>
      <c r="AU15" s="14"/>
      <c r="AV15" s="14"/>
      <c r="AW15" s="14"/>
    </row>
    <row r="16" ht="26.25" customHeight="1">
      <c r="A16" s="20"/>
      <c r="B16" s="14"/>
      <c r="C16" s="14"/>
      <c r="D16" s="14"/>
      <c r="E16" s="14"/>
      <c r="F16" s="14"/>
      <c r="G16" s="16"/>
      <c r="H16" s="16"/>
      <c r="I16" s="16"/>
      <c r="J16" s="16"/>
      <c r="K16" s="14"/>
      <c r="L16" s="14"/>
      <c r="M16" s="14"/>
      <c r="N16" s="14"/>
      <c r="O16" s="14"/>
      <c r="P16" s="15"/>
      <c r="Q16" s="14"/>
      <c r="R16" s="14"/>
      <c r="S16" s="15"/>
      <c r="T16" s="15"/>
      <c r="U16" s="15"/>
      <c r="V16" s="14"/>
      <c r="W16" s="14"/>
      <c r="X16" s="14"/>
      <c r="Y16" s="14"/>
      <c r="Z16" s="14"/>
      <c r="AA16" s="14"/>
      <c r="AB16" s="14"/>
      <c r="AC16" s="15"/>
      <c r="AD16" s="15"/>
      <c r="AE16" s="15"/>
      <c r="AF16" s="15"/>
      <c r="AG16" s="14"/>
      <c r="AH16" s="14"/>
      <c r="AI16" s="15"/>
      <c r="AJ16" s="15"/>
      <c r="AK16" s="15"/>
      <c r="AL16" s="15"/>
      <c r="AM16" s="15"/>
      <c r="AN16" s="15"/>
      <c r="AO16" s="14"/>
      <c r="AP16" s="16"/>
      <c r="AQ16" s="16"/>
      <c r="AR16" s="14"/>
      <c r="AS16" s="14"/>
      <c r="AT16" s="14"/>
      <c r="AU16" s="14"/>
      <c r="AV16" s="14"/>
      <c r="AW16" s="14"/>
    </row>
    <row r="17" ht="26.25" customHeight="1">
      <c r="A17" s="20"/>
      <c r="B17" s="14"/>
      <c r="C17" s="14"/>
      <c r="D17" s="14"/>
      <c r="E17" s="14"/>
      <c r="F17" s="14"/>
      <c r="G17" s="16"/>
      <c r="H17" s="16"/>
      <c r="I17" s="16"/>
      <c r="J17" s="16"/>
      <c r="K17" s="14"/>
      <c r="L17" s="14"/>
      <c r="M17" s="14"/>
      <c r="N17" s="14"/>
      <c r="O17" s="14"/>
      <c r="P17" s="15"/>
      <c r="Q17" s="14"/>
      <c r="R17" s="14"/>
      <c r="S17" s="15"/>
      <c r="T17" s="15"/>
      <c r="U17" s="15"/>
      <c r="V17" s="14"/>
      <c r="W17" s="14"/>
      <c r="X17" s="14"/>
      <c r="Y17" s="14"/>
      <c r="Z17" s="14"/>
      <c r="AA17" s="14"/>
      <c r="AB17" s="14"/>
      <c r="AC17" s="15"/>
      <c r="AD17" s="15"/>
      <c r="AE17" s="15"/>
      <c r="AF17" s="15"/>
      <c r="AG17" s="14"/>
      <c r="AH17" s="14"/>
      <c r="AI17" s="15"/>
      <c r="AJ17" s="15"/>
      <c r="AK17" s="15"/>
      <c r="AL17" s="15"/>
      <c r="AM17" s="15"/>
      <c r="AN17" s="15"/>
      <c r="AO17" s="14"/>
      <c r="AP17" s="16"/>
      <c r="AQ17" s="16"/>
      <c r="AR17" s="14"/>
      <c r="AS17" s="14"/>
      <c r="AT17" s="14"/>
      <c r="AU17" s="14"/>
      <c r="AV17" s="14"/>
      <c r="AW17" s="14"/>
    </row>
    <row r="18" ht="26.25" customHeight="1">
      <c r="A18" s="20"/>
      <c r="B18" s="14"/>
      <c r="C18" s="14"/>
      <c r="D18" s="14"/>
      <c r="E18" s="14"/>
      <c r="F18" s="14"/>
      <c r="G18" s="16"/>
      <c r="H18" s="16"/>
      <c r="I18" s="16"/>
      <c r="J18" s="16"/>
      <c r="K18" s="14"/>
      <c r="L18" s="14"/>
      <c r="M18" s="14"/>
      <c r="N18" s="14"/>
      <c r="O18" s="14"/>
      <c r="P18" s="15"/>
      <c r="Q18" s="14"/>
      <c r="R18" s="14"/>
      <c r="S18" s="15"/>
      <c r="T18" s="15"/>
      <c r="U18" s="15"/>
      <c r="V18" s="14"/>
      <c r="W18" s="14"/>
      <c r="X18" s="14"/>
      <c r="Y18" s="14"/>
      <c r="Z18" s="14"/>
      <c r="AA18" s="14"/>
      <c r="AB18" s="14"/>
      <c r="AC18" s="15"/>
      <c r="AD18" s="15"/>
      <c r="AE18" s="15"/>
      <c r="AF18" s="15"/>
      <c r="AG18" s="14"/>
      <c r="AH18" s="14"/>
      <c r="AI18" s="15"/>
      <c r="AJ18" s="15"/>
      <c r="AK18" s="15"/>
      <c r="AL18" s="15"/>
      <c r="AM18" s="15"/>
      <c r="AN18" s="15"/>
      <c r="AO18" s="14"/>
      <c r="AP18" s="16"/>
      <c r="AQ18" s="16"/>
      <c r="AR18" s="14"/>
      <c r="AS18" s="14"/>
      <c r="AT18" s="14"/>
      <c r="AU18" s="14"/>
      <c r="AV18" s="14"/>
      <c r="AW18" s="14"/>
    </row>
    <row r="19" ht="26.25" customHeight="1">
      <c r="A19" s="20"/>
      <c r="B19" s="14"/>
      <c r="C19" s="14"/>
      <c r="D19" s="14"/>
      <c r="E19" s="14"/>
      <c r="F19" s="14"/>
      <c r="G19" s="16"/>
      <c r="H19" s="16"/>
      <c r="I19" s="16"/>
      <c r="J19" s="16"/>
      <c r="K19" s="14"/>
      <c r="L19" s="14"/>
      <c r="M19" s="14"/>
      <c r="N19" s="14"/>
      <c r="O19" s="14"/>
      <c r="P19" s="15"/>
      <c r="Q19" s="14"/>
      <c r="R19" s="14"/>
      <c r="S19" s="15"/>
      <c r="T19" s="15"/>
      <c r="U19" s="15"/>
      <c r="V19" s="14"/>
      <c r="W19" s="14"/>
      <c r="X19" s="14"/>
      <c r="Y19" s="14"/>
      <c r="Z19" s="14"/>
      <c r="AA19" s="14"/>
      <c r="AB19" s="14"/>
      <c r="AC19" s="15"/>
      <c r="AD19" s="15"/>
      <c r="AE19" s="15"/>
      <c r="AF19" s="15"/>
      <c r="AG19" s="14"/>
      <c r="AH19" s="14"/>
      <c r="AI19" s="15"/>
      <c r="AJ19" s="15"/>
      <c r="AK19" s="15"/>
      <c r="AL19" s="15"/>
      <c r="AM19" s="15"/>
      <c r="AN19" s="15"/>
      <c r="AO19" s="14"/>
      <c r="AP19" s="16"/>
      <c r="AQ19" s="16"/>
      <c r="AR19" s="14"/>
      <c r="AS19" s="14"/>
      <c r="AT19" s="14"/>
      <c r="AU19" s="14"/>
      <c r="AV19" s="14"/>
      <c r="AW19" s="14"/>
    </row>
    <row r="20" ht="26.25" customHeight="1">
      <c r="A20" s="20"/>
      <c r="B20" s="14"/>
      <c r="C20" s="14"/>
      <c r="D20" s="14"/>
      <c r="E20" s="14"/>
      <c r="F20" s="14"/>
      <c r="G20" s="16"/>
      <c r="H20" s="16"/>
      <c r="I20" s="16"/>
      <c r="J20" s="16"/>
      <c r="K20" s="14"/>
      <c r="L20" s="14"/>
      <c r="M20" s="14"/>
      <c r="N20" s="14"/>
      <c r="O20" s="14"/>
      <c r="P20" s="15"/>
      <c r="Q20" s="14"/>
      <c r="R20" s="14"/>
      <c r="S20" s="15"/>
      <c r="T20" s="15"/>
      <c r="U20" s="15"/>
      <c r="V20" s="14"/>
      <c r="W20" s="14"/>
      <c r="X20" s="14"/>
      <c r="Y20" s="14"/>
      <c r="Z20" s="14"/>
      <c r="AA20" s="14"/>
      <c r="AB20" s="14"/>
      <c r="AC20" s="15"/>
      <c r="AD20" s="15"/>
      <c r="AE20" s="15"/>
      <c r="AF20" s="15"/>
      <c r="AG20" s="14"/>
      <c r="AH20" s="14"/>
      <c r="AI20" s="15"/>
      <c r="AJ20" s="15"/>
      <c r="AK20" s="15"/>
      <c r="AL20" s="15"/>
      <c r="AM20" s="15"/>
      <c r="AN20" s="15"/>
      <c r="AO20" s="14"/>
      <c r="AP20" s="16"/>
      <c r="AQ20" s="16"/>
      <c r="AR20" s="14"/>
      <c r="AS20" s="14"/>
      <c r="AT20" s="14"/>
      <c r="AU20" s="14"/>
      <c r="AV20" s="14"/>
      <c r="AW20" s="14"/>
    </row>
    <row r="21" ht="26.25" customHeight="1">
      <c r="A21" s="20"/>
      <c r="B21" s="14"/>
      <c r="C21" s="14"/>
      <c r="D21" s="14"/>
      <c r="E21" s="14"/>
      <c r="F21" s="14"/>
      <c r="G21" s="16"/>
      <c r="H21" s="16"/>
      <c r="I21" s="16"/>
      <c r="J21" s="16"/>
      <c r="K21" s="14"/>
      <c r="L21" s="14"/>
      <c r="M21" s="14"/>
      <c r="N21" s="14"/>
      <c r="O21" s="14"/>
      <c r="P21" s="15"/>
      <c r="Q21" s="14"/>
      <c r="R21" s="14"/>
      <c r="S21" s="15"/>
      <c r="T21" s="15"/>
      <c r="U21" s="15"/>
      <c r="V21" s="14"/>
      <c r="W21" s="14"/>
      <c r="X21" s="14"/>
      <c r="Y21" s="14"/>
      <c r="Z21" s="14"/>
      <c r="AA21" s="14"/>
      <c r="AB21" s="14"/>
      <c r="AC21" s="15"/>
      <c r="AD21" s="15"/>
      <c r="AE21" s="15"/>
      <c r="AF21" s="15"/>
      <c r="AG21" s="14"/>
      <c r="AH21" s="14"/>
      <c r="AI21" s="15"/>
      <c r="AJ21" s="15"/>
      <c r="AK21" s="15"/>
      <c r="AL21" s="15"/>
      <c r="AM21" s="15"/>
      <c r="AN21" s="15"/>
      <c r="AO21" s="14"/>
      <c r="AP21" s="16"/>
      <c r="AQ21" s="16"/>
      <c r="AR21" s="14"/>
      <c r="AS21" s="14"/>
      <c r="AT21" s="14"/>
      <c r="AU21" s="14"/>
      <c r="AV21" s="14"/>
      <c r="AW21" s="14"/>
    </row>
    <row r="22" ht="26.25" customHeight="1">
      <c r="A22" s="20"/>
      <c r="B22" s="14"/>
      <c r="C22" s="14"/>
      <c r="D22" s="14"/>
      <c r="E22" s="14"/>
      <c r="F22" s="14"/>
      <c r="G22" s="16"/>
      <c r="H22" s="16"/>
      <c r="I22" s="16"/>
      <c r="J22" s="16"/>
      <c r="K22" s="14"/>
      <c r="L22" s="14"/>
      <c r="M22" s="14"/>
      <c r="N22" s="14"/>
      <c r="O22" s="14"/>
      <c r="P22" s="15"/>
      <c r="Q22" s="14"/>
      <c r="R22" s="14"/>
      <c r="S22" s="15"/>
      <c r="T22" s="15"/>
      <c r="U22" s="15"/>
      <c r="V22" s="14"/>
      <c r="W22" s="14"/>
      <c r="X22" s="14"/>
      <c r="Y22" s="14"/>
      <c r="Z22" s="14"/>
      <c r="AA22" s="14"/>
      <c r="AB22" s="14"/>
      <c r="AC22" s="15"/>
      <c r="AD22" s="15"/>
      <c r="AE22" s="15"/>
      <c r="AF22" s="15"/>
      <c r="AG22" s="14"/>
      <c r="AH22" s="14"/>
      <c r="AI22" s="15"/>
      <c r="AJ22" s="15"/>
      <c r="AK22" s="15"/>
      <c r="AL22" s="15"/>
      <c r="AM22" s="15"/>
      <c r="AN22" s="15"/>
      <c r="AO22" s="14"/>
      <c r="AP22" s="16"/>
      <c r="AQ22" s="16"/>
      <c r="AR22" s="14"/>
      <c r="AS22" s="14"/>
      <c r="AT22" s="14"/>
      <c r="AU22" s="14"/>
      <c r="AV22" s="14"/>
      <c r="AW22" s="14"/>
    </row>
    <row r="23" ht="26.25" customHeight="1">
      <c r="A23" s="20"/>
      <c r="B23" s="14"/>
      <c r="C23" s="14"/>
      <c r="D23" s="14"/>
      <c r="E23" s="14"/>
      <c r="F23" s="14"/>
      <c r="G23" s="16"/>
      <c r="H23" s="16"/>
      <c r="I23" s="16"/>
      <c r="J23" s="16"/>
      <c r="K23" s="14"/>
      <c r="L23" s="14"/>
      <c r="M23" s="14"/>
      <c r="N23" s="14"/>
      <c r="O23" s="14"/>
      <c r="P23" s="15"/>
      <c r="Q23" s="14"/>
      <c r="R23" s="14"/>
      <c r="S23" s="15"/>
      <c r="T23" s="15"/>
      <c r="U23" s="15"/>
      <c r="V23" s="14"/>
      <c r="W23" s="14"/>
      <c r="X23" s="14"/>
      <c r="Y23" s="14"/>
      <c r="Z23" s="14"/>
      <c r="AA23" s="14"/>
      <c r="AB23" s="14"/>
      <c r="AC23" s="15"/>
      <c r="AD23" s="15"/>
      <c r="AE23" s="15"/>
      <c r="AF23" s="15"/>
      <c r="AG23" s="14"/>
      <c r="AH23" s="14"/>
      <c r="AI23" s="15"/>
      <c r="AJ23" s="15"/>
      <c r="AK23" s="15"/>
      <c r="AL23" s="15"/>
      <c r="AM23" s="15"/>
      <c r="AN23" s="15"/>
      <c r="AO23" s="14"/>
      <c r="AP23" s="16"/>
      <c r="AQ23" s="16"/>
      <c r="AR23" s="14"/>
      <c r="AS23" s="14"/>
      <c r="AT23" s="14"/>
      <c r="AU23" s="14"/>
      <c r="AV23" s="14"/>
      <c r="AW23" s="14"/>
    </row>
    <row r="24" ht="26.25" customHeight="1">
      <c r="A24" s="20"/>
      <c r="B24" s="14"/>
      <c r="C24" s="14"/>
      <c r="D24" s="14"/>
      <c r="E24" s="14"/>
      <c r="F24" s="14"/>
      <c r="G24" s="16"/>
      <c r="H24" s="16"/>
      <c r="I24" s="16"/>
      <c r="J24" s="16"/>
      <c r="K24" s="14"/>
      <c r="L24" s="14"/>
      <c r="M24" s="14"/>
      <c r="N24" s="14"/>
      <c r="O24" s="14"/>
      <c r="P24" s="15"/>
      <c r="Q24" s="14"/>
      <c r="R24" s="14"/>
      <c r="S24" s="15"/>
      <c r="T24" s="15"/>
      <c r="U24" s="15"/>
      <c r="V24" s="14"/>
      <c r="W24" s="14"/>
      <c r="X24" s="14"/>
      <c r="Y24" s="14"/>
      <c r="Z24" s="14"/>
      <c r="AA24" s="14"/>
      <c r="AB24" s="14"/>
      <c r="AC24" s="15"/>
      <c r="AD24" s="15"/>
      <c r="AE24" s="15"/>
      <c r="AF24" s="15"/>
      <c r="AG24" s="14"/>
      <c r="AH24" s="14"/>
      <c r="AI24" s="15"/>
      <c r="AJ24" s="15"/>
      <c r="AK24" s="15"/>
      <c r="AL24" s="15"/>
      <c r="AM24" s="15"/>
      <c r="AN24" s="15"/>
      <c r="AO24" s="14"/>
      <c r="AP24" s="16"/>
      <c r="AQ24" s="16"/>
      <c r="AR24" s="14"/>
      <c r="AS24" s="14"/>
      <c r="AT24" s="14"/>
      <c r="AU24" s="14"/>
      <c r="AV24" s="14"/>
      <c r="AW24" s="14"/>
    </row>
    <row r="25" ht="26.25" customHeight="1">
      <c r="A25" s="20"/>
      <c r="B25" s="14"/>
      <c r="C25" s="14"/>
      <c r="D25" s="14"/>
      <c r="E25" s="14"/>
      <c r="F25" s="14"/>
      <c r="G25" s="16"/>
      <c r="H25" s="16"/>
      <c r="I25" s="16"/>
      <c r="J25" s="16"/>
      <c r="K25" s="14"/>
      <c r="L25" s="14"/>
      <c r="M25" s="14"/>
      <c r="N25" s="14"/>
      <c r="O25" s="14"/>
      <c r="P25" s="15"/>
      <c r="Q25" s="14"/>
      <c r="R25" s="14"/>
      <c r="S25" s="15"/>
      <c r="T25" s="15"/>
      <c r="U25" s="15"/>
      <c r="V25" s="14"/>
      <c r="W25" s="14"/>
      <c r="X25" s="14"/>
      <c r="Y25" s="14"/>
      <c r="Z25" s="14"/>
      <c r="AA25" s="14"/>
      <c r="AB25" s="14"/>
      <c r="AC25" s="15"/>
      <c r="AD25" s="15"/>
      <c r="AE25" s="15"/>
      <c r="AF25" s="15"/>
      <c r="AG25" s="14"/>
      <c r="AH25" s="14"/>
      <c r="AI25" s="15"/>
      <c r="AJ25" s="15"/>
      <c r="AK25" s="15"/>
      <c r="AL25" s="15"/>
      <c r="AM25" s="15"/>
      <c r="AN25" s="15"/>
      <c r="AO25" s="14"/>
      <c r="AP25" s="16"/>
      <c r="AQ25" s="16"/>
      <c r="AR25" s="14"/>
      <c r="AS25" s="14"/>
      <c r="AT25" s="14"/>
      <c r="AU25" s="14"/>
      <c r="AV25" s="14"/>
      <c r="AW25" s="14"/>
    </row>
    <row r="26" ht="26.25" customHeight="1">
      <c r="A26" s="20"/>
      <c r="B26" s="14"/>
      <c r="C26" s="14"/>
      <c r="D26" s="14"/>
      <c r="E26" s="14"/>
      <c r="F26" s="14"/>
      <c r="G26" s="16"/>
      <c r="H26" s="16"/>
      <c r="I26" s="16"/>
      <c r="J26" s="16"/>
      <c r="K26" s="14"/>
      <c r="L26" s="14"/>
      <c r="M26" s="14"/>
      <c r="N26" s="14"/>
      <c r="O26" s="14"/>
      <c r="P26" s="15"/>
      <c r="Q26" s="14"/>
      <c r="R26" s="14"/>
      <c r="S26" s="15"/>
      <c r="T26" s="15"/>
      <c r="U26" s="15"/>
      <c r="V26" s="14"/>
      <c r="W26" s="14"/>
      <c r="X26" s="14"/>
      <c r="Y26" s="14"/>
      <c r="Z26" s="14"/>
      <c r="AA26" s="14"/>
      <c r="AB26" s="14"/>
      <c r="AC26" s="15"/>
      <c r="AD26" s="15"/>
      <c r="AE26" s="15"/>
      <c r="AF26" s="15"/>
      <c r="AG26" s="14"/>
      <c r="AH26" s="14"/>
      <c r="AI26" s="15"/>
      <c r="AJ26" s="15"/>
      <c r="AK26" s="15"/>
      <c r="AL26" s="15"/>
      <c r="AM26" s="15"/>
      <c r="AN26" s="15"/>
      <c r="AO26" s="14"/>
      <c r="AP26" s="16"/>
      <c r="AQ26" s="16"/>
      <c r="AR26" s="14"/>
      <c r="AS26" s="14"/>
      <c r="AT26" s="14"/>
      <c r="AU26" s="14"/>
      <c r="AV26" s="14"/>
      <c r="AW26" s="14"/>
    </row>
    <row r="27" ht="26.25" customHeight="1">
      <c r="A27" s="20"/>
      <c r="B27" s="14"/>
      <c r="C27" s="14"/>
      <c r="D27" s="14"/>
      <c r="E27" s="14"/>
      <c r="F27" s="14"/>
      <c r="G27" s="16"/>
      <c r="H27" s="16"/>
      <c r="I27" s="16"/>
      <c r="J27" s="16"/>
      <c r="K27" s="14"/>
      <c r="L27" s="14"/>
      <c r="M27" s="14"/>
      <c r="N27" s="14"/>
      <c r="O27" s="14"/>
      <c r="P27" s="15"/>
      <c r="Q27" s="14"/>
      <c r="R27" s="14"/>
      <c r="S27" s="15"/>
      <c r="T27" s="15"/>
      <c r="U27" s="15"/>
      <c r="V27" s="14"/>
      <c r="W27" s="14"/>
      <c r="X27" s="14"/>
      <c r="Y27" s="14"/>
      <c r="Z27" s="14"/>
      <c r="AA27" s="14"/>
      <c r="AB27" s="14"/>
      <c r="AC27" s="15"/>
      <c r="AD27" s="15"/>
      <c r="AE27" s="15"/>
      <c r="AF27" s="15"/>
      <c r="AG27" s="14"/>
      <c r="AH27" s="14"/>
      <c r="AI27" s="15"/>
      <c r="AJ27" s="15"/>
      <c r="AK27" s="15"/>
      <c r="AL27" s="15"/>
      <c r="AM27" s="15"/>
      <c r="AN27" s="15"/>
      <c r="AO27" s="14"/>
      <c r="AP27" s="16"/>
      <c r="AQ27" s="16"/>
      <c r="AR27" s="14"/>
      <c r="AS27" s="14"/>
      <c r="AT27" s="14"/>
      <c r="AU27" s="14"/>
      <c r="AV27" s="14"/>
      <c r="AW27" s="14"/>
    </row>
    <row r="28" ht="26.25" customHeight="1">
      <c r="A28" s="20"/>
      <c r="B28" s="14"/>
      <c r="C28" s="14"/>
      <c r="D28" s="14"/>
      <c r="E28" s="14"/>
      <c r="F28" s="14"/>
      <c r="G28" s="16"/>
      <c r="H28" s="16"/>
      <c r="I28" s="16"/>
      <c r="J28" s="16"/>
      <c r="K28" s="14"/>
      <c r="L28" s="14"/>
      <c r="M28" s="14"/>
      <c r="N28" s="14"/>
      <c r="O28" s="14"/>
      <c r="P28" s="15"/>
      <c r="Q28" s="14"/>
      <c r="R28" s="14"/>
      <c r="S28" s="15"/>
      <c r="T28" s="15"/>
      <c r="U28" s="15"/>
      <c r="V28" s="14"/>
      <c r="W28" s="14"/>
      <c r="X28" s="14"/>
      <c r="Y28" s="14"/>
      <c r="Z28" s="14"/>
      <c r="AA28" s="14"/>
      <c r="AB28" s="14"/>
      <c r="AC28" s="15"/>
      <c r="AD28" s="15"/>
      <c r="AE28" s="15"/>
      <c r="AF28" s="15"/>
      <c r="AG28" s="14"/>
      <c r="AH28" s="14"/>
      <c r="AI28" s="15"/>
      <c r="AJ28" s="15"/>
      <c r="AK28" s="15"/>
      <c r="AL28" s="15"/>
      <c r="AM28" s="15"/>
      <c r="AN28" s="15"/>
      <c r="AO28" s="14"/>
      <c r="AP28" s="16"/>
      <c r="AQ28" s="16"/>
      <c r="AR28" s="14"/>
      <c r="AS28" s="14"/>
      <c r="AT28" s="14"/>
      <c r="AU28" s="14"/>
      <c r="AV28" s="14"/>
      <c r="AW28" s="14"/>
    </row>
    <row r="29" ht="26.25" customHeight="1">
      <c r="A29" s="20"/>
      <c r="B29" s="14"/>
      <c r="C29" s="14"/>
      <c r="D29" s="14"/>
      <c r="E29" s="14"/>
      <c r="F29" s="14"/>
      <c r="G29" s="16"/>
      <c r="H29" s="16"/>
      <c r="I29" s="16"/>
      <c r="J29" s="16"/>
      <c r="K29" s="14"/>
      <c r="L29" s="14"/>
      <c r="M29" s="14"/>
      <c r="N29" s="14"/>
      <c r="O29" s="14"/>
      <c r="P29" s="15"/>
      <c r="Q29" s="14"/>
      <c r="R29" s="14"/>
      <c r="S29" s="15"/>
      <c r="T29" s="15"/>
      <c r="U29" s="15"/>
      <c r="V29" s="14"/>
      <c r="W29" s="14"/>
      <c r="X29" s="14"/>
      <c r="Y29" s="14"/>
      <c r="Z29" s="14"/>
      <c r="AA29" s="14"/>
      <c r="AB29" s="14"/>
      <c r="AC29" s="15"/>
      <c r="AD29" s="15"/>
      <c r="AE29" s="15"/>
      <c r="AF29" s="15"/>
      <c r="AG29" s="14"/>
      <c r="AH29" s="14"/>
      <c r="AI29" s="15"/>
      <c r="AJ29" s="15"/>
      <c r="AK29" s="15"/>
      <c r="AL29" s="15"/>
      <c r="AM29" s="15"/>
      <c r="AN29" s="15"/>
      <c r="AO29" s="14"/>
      <c r="AP29" s="16"/>
      <c r="AQ29" s="16"/>
      <c r="AR29" s="14"/>
      <c r="AS29" s="14"/>
      <c r="AT29" s="14"/>
      <c r="AU29" s="14"/>
      <c r="AV29" s="14"/>
      <c r="AW29" s="14"/>
    </row>
    <row r="30" ht="26.25" customHeight="1">
      <c r="A30" s="20"/>
      <c r="B30" s="14"/>
      <c r="C30" s="14"/>
      <c r="D30" s="14"/>
      <c r="E30" s="14"/>
      <c r="F30" s="14"/>
      <c r="G30" s="16"/>
      <c r="H30" s="16"/>
      <c r="I30" s="16"/>
      <c r="J30" s="16"/>
      <c r="K30" s="14"/>
      <c r="L30" s="14"/>
      <c r="M30" s="14"/>
      <c r="N30" s="14"/>
      <c r="O30" s="14"/>
      <c r="P30" s="15"/>
      <c r="Q30" s="14"/>
      <c r="R30" s="14"/>
      <c r="S30" s="15"/>
      <c r="T30" s="15"/>
      <c r="U30" s="15"/>
      <c r="V30" s="14"/>
      <c r="W30" s="14"/>
      <c r="X30" s="14"/>
      <c r="Y30" s="14"/>
      <c r="Z30" s="14"/>
      <c r="AA30" s="14"/>
      <c r="AB30" s="14"/>
      <c r="AC30" s="15"/>
      <c r="AD30" s="15"/>
      <c r="AE30" s="15"/>
      <c r="AF30" s="15"/>
      <c r="AG30" s="14"/>
      <c r="AH30" s="14"/>
      <c r="AI30" s="15"/>
      <c r="AJ30" s="15"/>
      <c r="AK30" s="15"/>
      <c r="AL30" s="15"/>
      <c r="AM30" s="15"/>
      <c r="AN30" s="15"/>
      <c r="AO30" s="14"/>
      <c r="AP30" s="16"/>
      <c r="AQ30" s="16"/>
      <c r="AR30" s="14"/>
      <c r="AS30" s="14"/>
      <c r="AT30" s="14"/>
      <c r="AU30" s="14"/>
      <c r="AV30" s="14"/>
      <c r="AW30" s="14"/>
    </row>
    <row r="31" ht="26.25" customHeight="1">
      <c r="A31" s="20"/>
      <c r="B31" s="14"/>
      <c r="C31" s="14"/>
      <c r="D31" s="14"/>
      <c r="E31" s="14"/>
      <c r="F31" s="14"/>
      <c r="G31" s="16"/>
      <c r="H31" s="16"/>
      <c r="I31" s="16"/>
      <c r="J31" s="16"/>
      <c r="K31" s="14"/>
      <c r="L31" s="14"/>
      <c r="M31" s="14"/>
      <c r="N31" s="14"/>
      <c r="O31" s="14"/>
      <c r="P31" s="15"/>
      <c r="Q31" s="14"/>
      <c r="R31" s="14"/>
      <c r="S31" s="15"/>
      <c r="T31" s="15"/>
      <c r="U31" s="15"/>
      <c r="V31" s="14"/>
      <c r="W31" s="14"/>
      <c r="X31" s="14"/>
      <c r="Y31" s="14"/>
      <c r="Z31" s="14"/>
      <c r="AA31" s="14"/>
      <c r="AB31" s="14"/>
      <c r="AC31" s="15"/>
      <c r="AD31" s="15"/>
      <c r="AE31" s="15"/>
      <c r="AF31" s="15"/>
      <c r="AG31" s="14"/>
      <c r="AH31" s="14"/>
      <c r="AI31" s="15"/>
      <c r="AJ31" s="15"/>
      <c r="AK31" s="15"/>
      <c r="AL31" s="15"/>
      <c r="AM31" s="15"/>
      <c r="AN31" s="15"/>
      <c r="AO31" s="14"/>
      <c r="AP31" s="16"/>
      <c r="AQ31" s="16"/>
      <c r="AR31" s="14"/>
      <c r="AS31" s="14"/>
      <c r="AT31" s="14"/>
      <c r="AU31" s="14"/>
      <c r="AV31" s="14"/>
      <c r="AW31" s="14"/>
    </row>
    <row r="32" ht="26.25" customHeight="1">
      <c r="A32" s="20"/>
      <c r="B32" s="14"/>
      <c r="C32" s="14"/>
      <c r="D32" s="14"/>
      <c r="E32" s="14"/>
      <c r="F32" s="14"/>
      <c r="G32" s="16"/>
      <c r="H32" s="16"/>
      <c r="I32" s="16"/>
      <c r="J32" s="16"/>
      <c r="K32" s="14"/>
      <c r="L32" s="14"/>
      <c r="M32" s="14"/>
      <c r="N32" s="14"/>
      <c r="O32" s="14"/>
      <c r="P32" s="15"/>
      <c r="Q32" s="14"/>
      <c r="R32" s="14"/>
      <c r="S32" s="15"/>
      <c r="T32" s="15"/>
      <c r="U32" s="15"/>
      <c r="V32" s="14"/>
      <c r="W32" s="14"/>
      <c r="X32" s="14"/>
      <c r="Y32" s="14"/>
      <c r="Z32" s="14"/>
      <c r="AA32" s="14"/>
      <c r="AB32" s="14"/>
      <c r="AC32" s="15"/>
      <c r="AD32" s="15"/>
      <c r="AE32" s="15"/>
      <c r="AF32" s="15"/>
      <c r="AG32" s="14"/>
      <c r="AH32" s="14"/>
      <c r="AI32" s="15"/>
      <c r="AJ32" s="15"/>
      <c r="AK32" s="15"/>
      <c r="AL32" s="15"/>
      <c r="AM32" s="15"/>
      <c r="AN32" s="15"/>
      <c r="AO32" s="14"/>
      <c r="AP32" s="16"/>
      <c r="AQ32" s="16"/>
      <c r="AR32" s="14"/>
      <c r="AS32" s="14"/>
      <c r="AT32" s="14"/>
      <c r="AU32" s="14"/>
      <c r="AV32" s="14"/>
      <c r="AW32" s="14"/>
    </row>
    <row r="33" ht="26.25" customHeight="1">
      <c r="A33" s="20"/>
      <c r="B33" s="14"/>
      <c r="C33" s="14"/>
      <c r="D33" s="14"/>
      <c r="E33" s="14"/>
      <c r="F33" s="14"/>
      <c r="G33" s="16"/>
      <c r="H33" s="16"/>
      <c r="I33" s="16"/>
      <c r="J33" s="16"/>
      <c r="K33" s="14"/>
      <c r="L33" s="14"/>
      <c r="M33" s="14"/>
      <c r="N33" s="14"/>
      <c r="O33" s="14"/>
      <c r="P33" s="15"/>
      <c r="Q33" s="14"/>
      <c r="R33" s="14"/>
      <c r="S33" s="15"/>
      <c r="T33" s="15"/>
      <c r="U33" s="15"/>
      <c r="V33" s="14"/>
      <c r="W33" s="14"/>
      <c r="X33" s="14"/>
      <c r="Y33" s="14"/>
      <c r="Z33" s="14"/>
      <c r="AA33" s="14"/>
      <c r="AB33" s="14"/>
      <c r="AC33" s="15"/>
      <c r="AD33" s="15"/>
      <c r="AE33" s="15"/>
      <c r="AF33" s="15"/>
      <c r="AG33" s="14"/>
      <c r="AH33" s="14"/>
      <c r="AI33" s="15"/>
      <c r="AJ33" s="15"/>
      <c r="AK33" s="15"/>
      <c r="AL33" s="15"/>
      <c r="AM33" s="15"/>
      <c r="AN33" s="15"/>
      <c r="AO33" s="14"/>
      <c r="AP33" s="16"/>
      <c r="AQ33" s="16"/>
      <c r="AR33" s="14"/>
      <c r="AS33" s="14"/>
      <c r="AT33" s="14"/>
      <c r="AU33" s="14"/>
      <c r="AV33" s="14"/>
      <c r="AW33" s="14"/>
    </row>
    <row r="34" ht="26.25" customHeight="1">
      <c r="A34" s="20"/>
      <c r="B34" s="14"/>
      <c r="C34" s="14"/>
      <c r="D34" s="14"/>
      <c r="E34" s="14"/>
      <c r="F34" s="14"/>
      <c r="G34" s="16"/>
      <c r="H34" s="16"/>
      <c r="I34" s="16"/>
      <c r="J34" s="16"/>
      <c r="K34" s="14"/>
      <c r="L34" s="14"/>
      <c r="M34" s="14"/>
      <c r="N34" s="14"/>
      <c r="O34" s="14"/>
      <c r="P34" s="15"/>
      <c r="Q34" s="14"/>
      <c r="R34" s="14"/>
      <c r="S34" s="15"/>
      <c r="T34" s="15"/>
      <c r="U34" s="15"/>
      <c r="V34" s="14"/>
      <c r="W34" s="14"/>
      <c r="X34" s="14"/>
      <c r="Y34" s="14"/>
      <c r="Z34" s="14"/>
      <c r="AA34" s="14"/>
      <c r="AB34" s="14"/>
      <c r="AC34" s="15"/>
      <c r="AD34" s="15"/>
      <c r="AE34" s="15"/>
      <c r="AF34" s="15"/>
      <c r="AG34" s="14"/>
      <c r="AH34" s="14"/>
      <c r="AI34" s="15"/>
      <c r="AJ34" s="15"/>
      <c r="AK34" s="15"/>
      <c r="AL34" s="15"/>
      <c r="AM34" s="15"/>
      <c r="AN34" s="15"/>
      <c r="AO34" s="14"/>
      <c r="AP34" s="16"/>
      <c r="AQ34" s="16"/>
      <c r="AR34" s="14"/>
      <c r="AS34" s="14"/>
      <c r="AT34" s="14"/>
      <c r="AU34" s="14"/>
      <c r="AV34" s="14"/>
      <c r="AW34" s="14"/>
    </row>
    <row r="35" ht="26.25" customHeight="1">
      <c r="A35" s="20"/>
      <c r="B35" s="14"/>
      <c r="C35" s="14"/>
      <c r="D35" s="14"/>
      <c r="E35" s="14"/>
      <c r="F35" s="14"/>
      <c r="G35" s="16"/>
      <c r="H35" s="16"/>
      <c r="I35" s="16"/>
      <c r="J35" s="16"/>
      <c r="K35" s="14"/>
      <c r="L35" s="14"/>
      <c r="M35" s="14"/>
      <c r="N35" s="14"/>
      <c r="O35" s="14"/>
      <c r="P35" s="15"/>
      <c r="Q35" s="14"/>
      <c r="R35" s="14"/>
      <c r="S35" s="15"/>
      <c r="T35" s="15"/>
      <c r="U35" s="15"/>
      <c r="V35" s="14"/>
      <c r="W35" s="14"/>
      <c r="X35" s="14"/>
      <c r="Y35" s="14"/>
      <c r="Z35" s="14"/>
      <c r="AA35" s="14"/>
      <c r="AB35" s="14"/>
      <c r="AC35" s="15"/>
      <c r="AD35" s="15"/>
      <c r="AE35" s="15"/>
      <c r="AF35" s="15"/>
      <c r="AG35" s="14"/>
      <c r="AH35" s="14"/>
      <c r="AI35" s="15"/>
      <c r="AJ35" s="15"/>
      <c r="AK35" s="15"/>
      <c r="AL35" s="15"/>
      <c r="AM35" s="15"/>
      <c r="AN35" s="15"/>
      <c r="AO35" s="14"/>
      <c r="AP35" s="16"/>
      <c r="AQ35" s="16"/>
      <c r="AR35" s="14"/>
      <c r="AS35" s="14"/>
      <c r="AT35" s="14"/>
      <c r="AU35" s="14"/>
      <c r="AV35" s="14"/>
      <c r="AW35" s="14"/>
    </row>
    <row r="36" ht="26.25" customHeight="1">
      <c r="A36" s="20"/>
      <c r="B36" s="14"/>
      <c r="C36" s="14"/>
      <c r="D36" s="14"/>
      <c r="E36" s="14"/>
      <c r="F36" s="14"/>
      <c r="G36" s="16"/>
      <c r="H36" s="16"/>
      <c r="I36" s="16"/>
      <c r="J36" s="16"/>
      <c r="K36" s="14"/>
      <c r="L36" s="14"/>
      <c r="M36" s="14"/>
      <c r="N36" s="14"/>
      <c r="O36" s="14"/>
      <c r="P36" s="15"/>
      <c r="Q36" s="14"/>
      <c r="R36" s="14"/>
      <c r="S36" s="15"/>
      <c r="T36" s="15"/>
      <c r="U36" s="15"/>
      <c r="V36" s="14"/>
      <c r="W36" s="14"/>
      <c r="X36" s="14"/>
      <c r="Y36" s="14"/>
      <c r="Z36" s="14"/>
      <c r="AA36" s="14"/>
      <c r="AB36" s="14"/>
      <c r="AC36" s="15"/>
      <c r="AD36" s="15"/>
      <c r="AE36" s="15"/>
      <c r="AF36" s="15"/>
      <c r="AG36" s="14"/>
      <c r="AH36" s="14"/>
      <c r="AI36" s="15"/>
      <c r="AJ36" s="15"/>
      <c r="AK36" s="15"/>
      <c r="AL36" s="15"/>
      <c r="AM36" s="15"/>
      <c r="AN36" s="15"/>
      <c r="AO36" s="14"/>
      <c r="AP36" s="16"/>
      <c r="AQ36" s="16"/>
      <c r="AR36" s="14"/>
      <c r="AS36" s="14"/>
      <c r="AT36" s="14"/>
      <c r="AU36" s="14"/>
      <c r="AV36" s="14"/>
      <c r="AW36" s="14"/>
    </row>
    <row r="37" ht="26.25" customHeight="1">
      <c r="A37" s="20"/>
      <c r="B37" s="14"/>
      <c r="C37" s="14"/>
      <c r="D37" s="14"/>
      <c r="E37" s="14"/>
      <c r="F37" s="14"/>
      <c r="G37" s="16"/>
      <c r="H37" s="16"/>
      <c r="I37" s="16"/>
      <c r="J37" s="16"/>
      <c r="K37" s="14"/>
      <c r="L37" s="14"/>
      <c r="M37" s="14"/>
      <c r="N37" s="14"/>
      <c r="O37" s="14"/>
      <c r="P37" s="15"/>
      <c r="Q37" s="14"/>
      <c r="R37" s="14"/>
      <c r="S37" s="15"/>
      <c r="T37" s="15"/>
      <c r="U37" s="15"/>
      <c r="V37" s="14"/>
      <c r="W37" s="14"/>
      <c r="X37" s="14"/>
      <c r="Y37" s="14"/>
      <c r="Z37" s="14"/>
      <c r="AA37" s="14"/>
      <c r="AB37" s="14"/>
      <c r="AC37" s="15"/>
      <c r="AD37" s="15"/>
      <c r="AE37" s="15"/>
      <c r="AF37" s="15"/>
      <c r="AG37" s="14"/>
      <c r="AH37" s="14"/>
      <c r="AI37" s="15"/>
      <c r="AJ37" s="15"/>
      <c r="AK37" s="15"/>
      <c r="AL37" s="15"/>
      <c r="AM37" s="15"/>
      <c r="AN37" s="15"/>
      <c r="AO37" s="14"/>
      <c r="AP37" s="16"/>
      <c r="AQ37" s="16"/>
      <c r="AR37" s="14"/>
      <c r="AS37" s="14"/>
      <c r="AT37" s="14"/>
      <c r="AU37" s="14"/>
      <c r="AV37" s="14"/>
      <c r="AW37" s="14"/>
    </row>
    <row r="38" ht="26.25" customHeight="1">
      <c r="A38" s="20"/>
      <c r="B38" s="14"/>
      <c r="C38" s="14"/>
      <c r="D38" s="14"/>
      <c r="E38" s="14"/>
      <c r="F38" s="14"/>
      <c r="G38" s="16"/>
      <c r="H38" s="16"/>
      <c r="I38" s="16"/>
      <c r="J38" s="16"/>
      <c r="K38" s="14"/>
      <c r="L38" s="14"/>
      <c r="M38" s="14"/>
      <c r="N38" s="14"/>
      <c r="O38" s="14"/>
      <c r="P38" s="15"/>
      <c r="Q38" s="14"/>
      <c r="R38" s="14"/>
      <c r="S38" s="15"/>
      <c r="T38" s="15"/>
      <c r="U38" s="15"/>
      <c r="V38" s="14"/>
      <c r="W38" s="14"/>
      <c r="X38" s="14"/>
      <c r="Y38" s="14"/>
      <c r="Z38" s="14"/>
      <c r="AA38" s="14"/>
      <c r="AB38" s="14"/>
      <c r="AC38" s="15"/>
      <c r="AD38" s="15"/>
      <c r="AE38" s="15"/>
      <c r="AF38" s="15"/>
      <c r="AG38" s="14"/>
      <c r="AH38" s="14"/>
      <c r="AI38" s="15"/>
      <c r="AJ38" s="15"/>
      <c r="AK38" s="15"/>
      <c r="AL38" s="15"/>
      <c r="AM38" s="15"/>
      <c r="AN38" s="15"/>
      <c r="AO38" s="14"/>
      <c r="AP38" s="16"/>
      <c r="AQ38" s="16"/>
      <c r="AR38" s="14"/>
      <c r="AS38" s="14"/>
      <c r="AT38" s="14"/>
      <c r="AU38" s="14"/>
      <c r="AV38" s="14"/>
      <c r="AW38" s="14"/>
    </row>
    <row r="39" ht="26.25" customHeight="1">
      <c r="A39" s="20"/>
      <c r="B39" s="14"/>
      <c r="C39" s="14"/>
      <c r="D39" s="14"/>
      <c r="E39" s="14"/>
      <c r="F39" s="14"/>
      <c r="G39" s="16"/>
      <c r="H39" s="16"/>
      <c r="I39" s="16"/>
      <c r="J39" s="16"/>
      <c r="K39" s="14"/>
      <c r="L39" s="14"/>
      <c r="M39" s="14"/>
      <c r="N39" s="14"/>
      <c r="O39" s="14"/>
      <c r="P39" s="15"/>
      <c r="Q39" s="14"/>
      <c r="R39" s="14"/>
      <c r="S39" s="15"/>
      <c r="T39" s="15"/>
      <c r="U39" s="15"/>
      <c r="V39" s="14"/>
      <c r="W39" s="14"/>
      <c r="X39" s="14"/>
      <c r="Y39" s="14"/>
      <c r="Z39" s="14"/>
      <c r="AA39" s="14"/>
      <c r="AB39" s="14"/>
      <c r="AC39" s="15"/>
      <c r="AD39" s="15"/>
      <c r="AE39" s="15"/>
      <c r="AF39" s="15"/>
      <c r="AG39" s="14"/>
      <c r="AH39" s="14"/>
      <c r="AI39" s="15"/>
      <c r="AJ39" s="15"/>
      <c r="AK39" s="15"/>
      <c r="AL39" s="15"/>
      <c r="AM39" s="15"/>
      <c r="AN39" s="15"/>
      <c r="AO39" s="14"/>
      <c r="AP39" s="16"/>
      <c r="AQ39" s="16"/>
      <c r="AR39" s="14"/>
      <c r="AS39" s="14"/>
      <c r="AT39" s="14"/>
      <c r="AU39" s="14"/>
      <c r="AV39" s="14"/>
      <c r="AW39" s="14"/>
    </row>
    <row r="40" ht="26.25" customHeight="1">
      <c r="A40" s="20"/>
      <c r="B40" s="14"/>
      <c r="C40" s="14"/>
      <c r="D40" s="14"/>
      <c r="E40" s="14"/>
      <c r="F40" s="14"/>
      <c r="G40" s="16"/>
      <c r="H40" s="16"/>
      <c r="I40" s="16"/>
      <c r="J40" s="16"/>
      <c r="K40" s="14"/>
      <c r="L40" s="14"/>
      <c r="M40" s="14"/>
      <c r="N40" s="14"/>
      <c r="O40" s="14"/>
      <c r="P40" s="15"/>
      <c r="Q40" s="14"/>
      <c r="R40" s="14"/>
      <c r="S40" s="15"/>
      <c r="T40" s="15"/>
      <c r="U40" s="15"/>
      <c r="V40" s="14"/>
      <c r="W40" s="14"/>
      <c r="X40" s="14"/>
      <c r="Y40" s="14"/>
      <c r="Z40" s="14"/>
      <c r="AA40" s="14"/>
      <c r="AB40" s="14"/>
      <c r="AC40" s="15"/>
      <c r="AD40" s="15"/>
      <c r="AE40" s="15"/>
      <c r="AF40" s="15"/>
      <c r="AG40" s="14"/>
      <c r="AH40" s="14"/>
      <c r="AI40" s="15"/>
      <c r="AJ40" s="15"/>
      <c r="AK40" s="15"/>
      <c r="AL40" s="15"/>
      <c r="AM40" s="15"/>
      <c r="AN40" s="15"/>
      <c r="AO40" s="14"/>
      <c r="AP40" s="16"/>
      <c r="AQ40" s="16"/>
      <c r="AR40" s="14"/>
      <c r="AS40" s="14"/>
      <c r="AT40" s="14"/>
      <c r="AU40" s="14"/>
      <c r="AV40" s="14"/>
      <c r="AW40" s="14"/>
    </row>
    <row r="41" ht="26.25" customHeight="1">
      <c r="A41" s="20"/>
      <c r="B41" s="14"/>
      <c r="C41" s="14"/>
      <c r="D41" s="14"/>
      <c r="E41" s="14"/>
      <c r="F41" s="14"/>
      <c r="G41" s="16"/>
      <c r="H41" s="16"/>
      <c r="I41" s="16"/>
      <c r="J41" s="16"/>
      <c r="K41" s="14"/>
      <c r="L41" s="14"/>
      <c r="M41" s="14"/>
      <c r="N41" s="14"/>
      <c r="O41" s="14"/>
      <c r="P41" s="15"/>
      <c r="Q41" s="14"/>
      <c r="R41" s="14"/>
      <c r="S41" s="15"/>
      <c r="T41" s="15"/>
      <c r="U41" s="15"/>
      <c r="V41" s="14"/>
      <c r="W41" s="14"/>
      <c r="X41" s="14"/>
      <c r="Y41" s="14"/>
      <c r="Z41" s="14"/>
      <c r="AA41" s="14"/>
      <c r="AB41" s="14"/>
      <c r="AC41" s="15"/>
      <c r="AD41" s="15"/>
      <c r="AE41" s="15"/>
      <c r="AF41" s="15"/>
      <c r="AG41" s="14"/>
      <c r="AH41" s="14"/>
      <c r="AI41" s="15"/>
      <c r="AJ41" s="15"/>
      <c r="AK41" s="15"/>
      <c r="AL41" s="15"/>
      <c r="AM41" s="15"/>
      <c r="AN41" s="15"/>
      <c r="AO41" s="14"/>
      <c r="AP41" s="16"/>
      <c r="AQ41" s="16"/>
      <c r="AR41" s="14"/>
      <c r="AS41" s="14"/>
      <c r="AT41" s="14"/>
      <c r="AU41" s="14"/>
      <c r="AV41" s="14"/>
      <c r="AW41" s="14"/>
    </row>
    <row r="42" ht="26.25" customHeight="1">
      <c r="A42" s="20"/>
      <c r="B42" s="14"/>
      <c r="C42" s="14"/>
      <c r="D42" s="14"/>
      <c r="E42" s="14"/>
      <c r="F42" s="14"/>
      <c r="G42" s="16"/>
      <c r="H42" s="16"/>
      <c r="I42" s="16"/>
      <c r="J42" s="16"/>
      <c r="K42" s="14"/>
      <c r="L42" s="14"/>
      <c r="M42" s="14"/>
      <c r="N42" s="14"/>
      <c r="O42" s="14"/>
      <c r="P42" s="15"/>
      <c r="Q42" s="14"/>
      <c r="R42" s="14"/>
      <c r="S42" s="15"/>
      <c r="T42" s="15"/>
      <c r="U42" s="15"/>
      <c r="V42" s="14"/>
      <c r="W42" s="14"/>
      <c r="X42" s="14"/>
      <c r="Y42" s="14"/>
      <c r="Z42" s="14"/>
      <c r="AA42" s="14"/>
      <c r="AB42" s="14"/>
      <c r="AC42" s="15"/>
      <c r="AD42" s="15"/>
      <c r="AE42" s="15"/>
      <c r="AF42" s="15"/>
      <c r="AG42" s="14"/>
      <c r="AH42" s="14"/>
      <c r="AI42" s="15"/>
      <c r="AJ42" s="15"/>
      <c r="AK42" s="15"/>
      <c r="AL42" s="15"/>
      <c r="AM42" s="15"/>
      <c r="AN42" s="15"/>
      <c r="AO42" s="14"/>
      <c r="AP42" s="16"/>
      <c r="AQ42" s="16"/>
      <c r="AR42" s="14"/>
      <c r="AS42" s="14"/>
      <c r="AT42" s="14"/>
      <c r="AU42" s="14"/>
      <c r="AV42" s="14"/>
      <c r="AW42" s="14"/>
    </row>
    <row r="43" ht="26.25" customHeight="1">
      <c r="A43" s="20"/>
      <c r="B43" s="14"/>
      <c r="C43" s="14"/>
      <c r="D43" s="14"/>
      <c r="E43" s="14"/>
      <c r="F43" s="14"/>
      <c r="G43" s="16"/>
      <c r="H43" s="16"/>
      <c r="I43" s="16"/>
      <c r="J43" s="16"/>
      <c r="K43" s="14"/>
      <c r="L43" s="14"/>
      <c r="M43" s="14"/>
      <c r="N43" s="14"/>
      <c r="O43" s="14"/>
      <c r="P43" s="15"/>
      <c r="Q43" s="14"/>
      <c r="R43" s="14"/>
      <c r="S43" s="15"/>
      <c r="T43" s="15"/>
      <c r="U43" s="15"/>
      <c r="V43" s="14"/>
      <c r="W43" s="14"/>
      <c r="X43" s="14"/>
      <c r="Y43" s="14"/>
      <c r="Z43" s="14"/>
      <c r="AA43" s="14"/>
      <c r="AB43" s="14"/>
      <c r="AC43" s="15"/>
      <c r="AD43" s="15"/>
      <c r="AE43" s="15"/>
      <c r="AF43" s="15"/>
      <c r="AG43" s="14"/>
      <c r="AH43" s="14"/>
      <c r="AI43" s="15"/>
      <c r="AJ43" s="15"/>
      <c r="AK43" s="15"/>
      <c r="AL43" s="15"/>
      <c r="AM43" s="15"/>
      <c r="AN43" s="15"/>
      <c r="AO43" s="14"/>
      <c r="AP43" s="16"/>
      <c r="AQ43" s="16"/>
      <c r="AR43" s="14"/>
      <c r="AS43" s="14"/>
      <c r="AT43" s="14"/>
      <c r="AU43" s="14"/>
      <c r="AV43" s="14"/>
      <c r="AW43" s="14"/>
    </row>
    <row r="44" ht="26.25" customHeight="1">
      <c r="A44" s="20"/>
      <c r="B44" s="14"/>
      <c r="C44" s="14"/>
      <c r="D44" s="14"/>
      <c r="E44" s="14"/>
      <c r="F44" s="14"/>
      <c r="G44" s="16"/>
      <c r="H44" s="16"/>
      <c r="I44" s="16"/>
      <c r="J44" s="16"/>
      <c r="K44" s="14"/>
      <c r="L44" s="14"/>
      <c r="M44" s="14"/>
      <c r="N44" s="14"/>
      <c r="O44" s="14"/>
      <c r="P44" s="15"/>
      <c r="Q44" s="14"/>
      <c r="R44" s="14"/>
      <c r="S44" s="15"/>
      <c r="T44" s="15"/>
      <c r="U44" s="15"/>
      <c r="V44" s="14"/>
      <c r="W44" s="14"/>
      <c r="X44" s="14"/>
      <c r="Y44" s="14"/>
      <c r="Z44" s="14"/>
      <c r="AA44" s="14"/>
      <c r="AB44" s="14"/>
      <c r="AC44" s="15"/>
      <c r="AD44" s="15"/>
      <c r="AE44" s="15"/>
      <c r="AF44" s="15"/>
      <c r="AG44" s="14"/>
      <c r="AH44" s="14"/>
      <c r="AI44" s="15"/>
      <c r="AJ44" s="15"/>
      <c r="AK44" s="15"/>
      <c r="AL44" s="15"/>
      <c r="AM44" s="15"/>
      <c r="AN44" s="15"/>
      <c r="AO44" s="14"/>
      <c r="AP44" s="16"/>
      <c r="AQ44" s="16"/>
      <c r="AR44" s="14"/>
      <c r="AS44" s="14"/>
      <c r="AT44" s="14"/>
      <c r="AU44" s="14"/>
      <c r="AV44" s="14"/>
      <c r="AW44" s="14"/>
    </row>
    <row r="45" ht="26.25" customHeight="1">
      <c r="A45" s="20"/>
      <c r="B45" s="14"/>
      <c r="C45" s="14"/>
      <c r="D45" s="14"/>
      <c r="E45" s="14"/>
      <c r="F45" s="14"/>
      <c r="G45" s="16"/>
      <c r="H45" s="16"/>
      <c r="I45" s="16"/>
      <c r="J45" s="16"/>
      <c r="K45" s="14"/>
      <c r="L45" s="14"/>
      <c r="M45" s="14"/>
      <c r="N45" s="14"/>
      <c r="O45" s="14"/>
      <c r="P45" s="15"/>
      <c r="Q45" s="14"/>
      <c r="R45" s="14"/>
      <c r="S45" s="15"/>
      <c r="T45" s="15"/>
      <c r="U45" s="15"/>
      <c r="V45" s="14"/>
      <c r="W45" s="14"/>
      <c r="X45" s="14"/>
      <c r="Y45" s="14"/>
      <c r="Z45" s="14"/>
      <c r="AA45" s="14"/>
      <c r="AB45" s="14"/>
      <c r="AC45" s="15"/>
      <c r="AD45" s="15"/>
      <c r="AE45" s="15"/>
      <c r="AF45" s="15"/>
      <c r="AG45" s="14"/>
      <c r="AH45" s="14"/>
      <c r="AI45" s="15"/>
      <c r="AJ45" s="15"/>
      <c r="AK45" s="15"/>
      <c r="AL45" s="15"/>
      <c r="AM45" s="15"/>
      <c r="AN45" s="15"/>
      <c r="AO45" s="14"/>
      <c r="AP45" s="16"/>
      <c r="AQ45" s="16"/>
      <c r="AR45" s="14"/>
      <c r="AS45" s="14"/>
      <c r="AT45" s="14"/>
      <c r="AU45" s="14"/>
      <c r="AV45" s="14"/>
      <c r="AW45" s="14"/>
    </row>
    <row r="46" ht="26.25" customHeight="1">
      <c r="A46" s="20"/>
      <c r="B46" s="14"/>
      <c r="C46" s="14"/>
      <c r="D46" s="14"/>
      <c r="E46" s="14"/>
      <c r="F46" s="14"/>
      <c r="G46" s="16"/>
      <c r="H46" s="16"/>
      <c r="I46" s="16"/>
      <c r="J46" s="16"/>
      <c r="K46" s="14"/>
      <c r="L46" s="14"/>
      <c r="M46" s="14"/>
      <c r="N46" s="14"/>
      <c r="O46" s="14"/>
      <c r="P46" s="15"/>
      <c r="Q46" s="14"/>
      <c r="R46" s="14"/>
      <c r="S46" s="15"/>
      <c r="T46" s="15"/>
      <c r="U46" s="15"/>
      <c r="V46" s="14"/>
      <c r="W46" s="14"/>
      <c r="X46" s="14"/>
      <c r="Y46" s="14"/>
      <c r="Z46" s="14"/>
      <c r="AA46" s="14"/>
      <c r="AB46" s="14"/>
      <c r="AC46" s="15"/>
      <c r="AD46" s="15"/>
      <c r="AE46" s="15"/>
      <c r="AF46" s="15"/>
      <c r="AG46" s="14"/>
      <c r="AH46" s="14"/>
      <c r="AI46" s="15"/>
      <c r="AJ46" s="15"/>
      <c r="AK46" s="15"/>
      <c r="AL46" s="15"/>
      <c r="AM46" s="15"/>
      <c r="AN46" s="15"/>
      <c r="AO46" s="14"/>
      <c r="AP46" s="16"/>
      <c r="AQ46" s="16"/>
      <c r="AR46" s="14"/>
      <c r="AS46" s="14"/>
      <c r="AT46" s="14"/>
      <c r="AU46" s="14"/>
      <c r="AV46" s="14"/>
      <c r="AW46" s="14"/>
    </row>
    <row r="47" ht="26.25" customHeight="1">
      <c r="A47" s="20"/>
      <c r="B47" s="14"/>
      <c r="C47" s="14"/>
      <c r="D47" s="14"/>
      <c r="E47" s="14"/>
      <c r="F47" s="14"/>
      <c r="G47" s="16"/>
      <c r="H47" s="16"/>
      <c r="I47" s="16"/>
      <c r="J47" s="16"/>
      <c r="K47" s="14"/>
      <c r="L47" s="14"/>
      <c r="M47" s="14"/>
      <c r="N47" s="14"/>
      <c r="O47" s="14"/>
      <c r="P47" s="15"/>
      <c r="Q47" s="14"/>
      <c r="R47" s="14"/>
      <c r="S47" s="15"/>
      <c r="T47" s="15"/>
      <c r="U47" s="15"/>
      <c r="V47" s="14"/>
      <c r="W47" s="14"/>
      <c r="X47" s="14"/>
      <c r="Y47" s="14"/>
      <c r="Z47" s="14"/>
      <c r="AA47" s="14"/>
      <c r="AB47" s="14"/>
      <c r="AC47" s="15"/>
      <c r="AD47" s="15"/>
      <c r="AE47" s="15"/>
      <c r="AF47" s="15"/>
      <c r="AG47" s="14"/>
      <c r="AH47" s="14"/>
      <c r="AI47" s="15"/>
      <c r="AJ47" s="15"/>
      <c r="AK47" s="15"/>
      <c r="AL47" s="15"/>
      <c r="AM47" s="15"/>
      <c r="AN47" s="15"/>
      <c r="AO47" s="14"/>
      <c r="AP47" s="16"/>
      <c r="AQ47" s="16"/>
      <c r="AR47" s="14"/>
      <c r="AS47" s="14"/>
      <c r="AT47" s="14"/>
      <c r="AU47" s="14"/>
      <c r="AV47" s="14"/>
      <c r="AW47" s="14"/>
    </row>
    <row r="48" ht="26.25" customHeight="1">
      <c r="A48" s="20"/>
      <c r="B48" s="14"/>
      <c r="C48" s="14"/>
      <c r="D48" s="14"/>
      <c r="E48" s="14"/>
      <c r="F48" s="14"/>
      <c r="G48" s="16"/>
      <c r="H48" s="16"/>
      <c r="I48" s="16"/>
      <c r="J48" s="16"/>
      <c r="K48" s="14"/>
      <c r="L48" s="14"/>
      <c r="M48" s="14"/>
      <c r="N48" s="14"/>
      <c r="O48" s="14"/>
      <c r="P48" s="15"/>
      <c r="Q48" s="14"/>
      <c r="R48" s="14"/>
      <c r="S48" s="15"/>
      <c r="T48" s="15"/>
      <c r="U48" s="15"/>
      <c r="V48" s="14"/>
      <c r="W48" s="14"/>
      <c r="X48" s="14"/>
      <c r="Y48" s="14"/>
      <c r="Z48" s="14"/>
      <c r="AA48" s="14"/>
      <c r="AB48" s="14"/>
      <c r="AC48" s="15"/>
      <c r="AD48" s="15"/>
      <c r="AE48" s="15"/>
      <c r="AF48" s="15"/>
      <c r="AG48" s="14"/>
      <c r="AH48" s="14"/>
      <c r="AI48" s="15"/>
      <c r="AJ48" s="15"/>
      <c r="AK48" s="15"/>
      <c r="AL48" s="15"/>
      <c r="AM48" s="15"/>
      <c r="AN48" s="15"/>
      <c r="AO48" s="14"/>
      <c r="AP48" s="16"/>
      <c r="AQ48" s="16"/>
      <c r="AR48" s="14"/>
      <c r="AS48" s="14"/>
      <c r="AT48" s="14"/>
      <c r="AU48" s="14"/>
      <c r="AV48" s="14"/>
      <c r="AW48" s="14"/>
    </row>
    <row r="49" ht="26.25" customHeight="1">
      <c r="A49" s="20"/>
      <c r="B49" s="14"/>
      <c r="C49" s="14"/>
      <c r="D49" s="14"/>
      <c r="E49" s="14"/>
      <c r="F49" s="14"/>
      <c r="G49" s="16"/>
      <c r="H49" s="16"/>
      <c r="I49" s="16"/>
      <c r="J49" s="16"/>
      <c r="K49" s="14"/>
      <c r="L49" s="14"/>
      <c r="M49" s="14"/>
      <c r="N49" s="14"/>
      <c r="O49" s="14"/>
      <c r="P49" s="15"/>
      <c r="Q49" s="14"/>
      <c r="R49" s="14"/>
      <c r="S49" s="15"/>
      <c r="T49" s="15"/>
      <c r="U49" s="15"/>
      <c r="V49" s="14"/>
      <c r="W49" s="14"/>
      <c r="X49" s="14"/>
      <c r="Y49" s="14"/>
      <c r="Z49" s="14"/>
      <c r="AA49" s="14"/>
      <c r="AB49" s="14"/>
      <c r="AC49" s="15"/>
      <c r="AD49" s="15"/>
      <c r="AE49" s="15"/>
      <c r="AF49" s="15"/>
      <c r="AG49" s="14"/>
      <c r="AH49" s="14"/>
      <c r="AI49" s="15"/>
      <c r="AJ49" s="15"/>
      <c r="AK49" s="15"/>
      <c r="AL49" s="15"/>
      <c r="AM49" s="15"/>
      <c r="AN49" s="15"/>
      <c r="AO49" s="14"/>
      <c r="AP49" s="16"/>
      <c r="AQ49" s="16"/>
      <c r="AR49" s="14"/>
      <c r="AS49" s="14"/>
      <c r="AT49" s="14"/>
      <c r="AU49" s="14"/>
      <c r="AV49" s="14"/>
      <c r="AW49" s="14"/>
    </row>
    <row r="50" ht="26.25" customHeight="1">
      <c r="A50" s="20"/>
      <c r="B50" s="14"/>
      <c r="C50" s="14"/>
      <c r="D50" s="14"/>
      <c r="E50" s="14"/>
      <c r="F50" s="14"/>
      <c r="G50" s="16"/>
      <c r="H50" s="16"/>
      <c r="I50" s="16"/>
      <c r="J50" s="16"/>
      <c r="K50" s="14"/>
      <c r="L50" s="14"/>
      <c r="M50" s="14"/>
      <c r="N50" s="14"/>
      <c r="O50" s="14"/>
      <c r="P50" s="15"/>
      <c r="Q50" s="14"/>
      <c r="R50" s="14"/>
      <c r="S50" s="15"/>
      <c r="T50" s="15"/>
      <c r="U50" s="15"/>
      <c r="V50" s="14"/>
      <c r="W50" s="14"/>
      <c r="X50" s="14"/>
      <c r="Y50" s="14"/>
      <c r="Z50" s="14"/>
      <c r="AA50" s="14"/>
      <c r="AB50" s="14"/>
      <c r="AC50" s="15"/>
      <c r="AD50" s="15"/>
      <c r="AE50" s="15"/>
      <c r="AF50" s="15"/>
      <c r="AG50" s="14"/>
      <c r="AH50" s="14"/>
      <c r="AI50" s="15"/>
      <c r="AJ50" s="15"/>
      <c r="AK50" s="15"/>
      <c r="AL50" s="15"/>
      <c r="AM50" s="15"/>
      <c r="AN50" s="15"/>
      <c r="AO50" s="14"/>
      <c r="AP50" s="16"/>
      <c r="AQ50" s="16"/>
      <c r="AR50" s="14"/>
      <c r="AS50" s="14"/>
      <c r="AT50" s="14"/>
      <c r="AU50" s="14"/>
      <c r="AV50" s="14"/>
      <c r="AW50" s="14"/>
    </row>
    <row r="51" ht="26.25" customHeight="1">
      <c r="A51" s="20"/>
      <c r="B51" s="14"/>
      <c r="C51" s="14"/>
      <c r="D51" s="14"/>
      <c r="E51" s="14"/>
      <c r="F51" s="14"/>
      <c r="G51" s="16"/>
      <c r="H51" s="16"/>
      <c r="I51" s="16"/>
      <c r="J51" s="16"/>
      <c r="K51" s="14"/>
      <c r="L51" s="14"/>
      <c r="M51" s="14"/>
      <c r="N51" s="14"/>
      <c r="O51" s="14"/>
      <c r="P51" s="15"/>
      <c r="Q51" s="14"/>
      <c r="R51" s="14"/>
      <c r="S51" s="15"/>
      <c r="T51" s="15"/>
      <c r="U51" s="15"/>
      <c r="V51" s="14"/>
      <c r="W51" s="14"/>
      <c r="X51" s="14"/>
      <c r="Y51" s="14"/>
      <c r="Z51" s="14"/>
      <c r="AA51" s="14"/>
      <c r="AB51" s="14"/>
      <c r="AC51" s="15"/>
      <c r="AD51" s="15"/>
      <c r="AE51" s="15"/>
      <c r="AF51" s="15"/>
      <c r="AG51" s="14"/>
      <c r="AH51" s="14"/>
      <c r="AI51" s="15"/>
      <c r="AJ51" s="15"/>
      <c r="AK51" s="15"/>
      <c r="AL51" s="15"/>
      <c r="AM51" s="15"/>
      <c r="AN51" s="15"/>
      <c r="AO51" s="14"/>
      <c r="AP51" s="16"/>
      <c r="AQ51" s="16"/>
      <c r="AR51" s="14"/>
      <c r="AS51" s="14"/>
      <c r="AT51" s="14"/>
      <c r="AU51" s="14"/>
      <c r="AV51" s="14"/>
      <c r="AW51" s="14"/>
    </row>
    <row r="52" ht="26.25" customHeight="1">
      <c r="A52" s="20"/>
      <c r="B52" s="14"/>
      <c r="C52" s="14"/>
      <c r="D52" s="14"/>
      <c r="E52" s="14"/>
      <c r="F52" s="14"/>
      <c r="G52" s="16"/>
      <c r="H52" s="16"/>
      <c r="I52" s="16"/>
      <c r="J52" s="16"/>
      <c r="K52" s="14"/>
      <c r="L52" s="14"/>
      <c r="M52" s="14"/>
      <c r="N52" s="14"/>
      <c r="O52" s="14"/>
      <c r="P52" s="15"/>
      <c r="Q52" s="14"/>
      <c r="R52" s="14"/>
      <c r="S52" s="15"/>
      <c r="T52" s="15"/>
      <c r="U52" s="15"/>
      <c r="V52" s="14"/>
      <c r="W52" s="14"/>
      <c r="X52" s="14"/>
      <c r="Y52" s="14"/>
      <c r="Z52" s="14"/>
      <c r="AA52" s="14"/>
      <c r="AB52" s="14"/>
      <c r="AC52" s="15"/>
      <c r="AD52" s="15"/>
      <c r="AE52" s="15"/>
      <c r="AF52" s="15"/>
      <c r="AG52" s="14"/>
      <c r="AH52" s="14"/>
      <c r="AI52" s="15"/>
      <c r="AJ52" s="15"/>
      <c r="AK52" s="15"/>
      <c r="AL52" s="15"/>
      <c r="AM52" s="15"/>
      <c r="AN52" s="15"/>
      <c r="AO52" s="14"/>
      <c r="AP52" s="16"/>
      <c r="AQ52" s="16"/>
      <c r="AR52" s="14"/>
      <c r="AS52" s="14"/>
      <c r="AT52" s="14"/>
      <c r="AU52" s="14"/>
      <c r="AV52" s="14"/>
      <c r="AW52" s="14"/>
    </row>
    <row r="53" ht="26.25" customHeight="1">
      <c r="A53" s="20"/>
      <c r="B53" s="14"/>
      <c r="C53" s="14"/>
      <c r="D53" s="14"/>
      <c r="E53" s="14"/>
      <c r="F53" s="14"/>
      <c r="G53" s="16"/>
      <c r="H53" s="16"/>
      <c r="I53" s="16"/>
      <c r="J53" s="16"/>
      <c r="K53" s="14"/>
      <c r="L53" s="14"/>
      <c r="M53" s="14"/>
      <c r="N53" s="14"/>
      <c r="O53" s="14"/>
      <c r="P53" s="15"/>
      <c r="Q53" s="14"/>
      <c r="R53" s="14"/>
      <c r="S53" s="15"/>
      <c r="T53" s="15"/>
      <c r="U53" s="15"/>
      <c r="V53" s="14"/>
      <c r="W53" s="14"/>
      <c r="X53" s="14"/>
      <c r="Y53" s="14"/>
      <c r="Z53" s="14"/>
      <c r="AA53" s="14"/>
      <c r="AB53" s="14"/>
      <c r="AC53" s="15"/>
      <c r="AD53" s="15"/>
      <c r="AE53" s="15"/>
      <c r="AF53" s="15"/>
      <c r="AG53" s="14"/>
      <c r="AH53" s="14"/>
      <c r="AI53" s="15"/>
      <c r="AJ53" s="15"/>
      <c r="AK53" s="15"/>
      <c r="AL53" s="15"/>
      <c r="AM53" s="15"/>
      <c r="AN53" s="15"/>
      <c r="AO53" s="14"/>
      <c r="AP53" s="16"/>
      <c r="AQ53" s="16"/>
      <c r="AR53" s="14"/>
      <c r="AS53" s="14"/>
      <c r="AT53" s="14"/>
      <c r="AU53" s="14"/>
      <c r="AV53" s="14"/>
      <c r="AW53" s="14"/>
    </row>
    <row r="54" ht="26.25" customHeight="1">
      <c r="A54" s="20"/>
      <c r="B54" s="14"/>
      <c r="C54" s="14"/>
      <c r="D54" s="14"/>
      <c r="E54" s="14"/>
      <c r="F54" s="14"/>
      <c r="G54" s="16"/>
      <c r="H54" s="16"/>
      <c r="I54" s="16"/>
      <c r="J54" s="16"/>
      <c r="K54" s="14"/>
      <c r="L54" s="14"/>
      <c r="M54" s="14"/>
      <c r="N54" s="14"/>
      <c r="O54" s="14"/>
      <c r="P54" s="15"/>
      <c r="Q54" s="14"/>
      <c r="R54" s="14"/>
      <c r="S54" s="15"/>
      <c r="T54" s="15"/>
      <c r="U54" s="15"/>
      <c r="V54" s="14"/>
      <c r="W54" s="14"/>
      <c r="X54" s="14"/>
      <c r="Y54" s="14"/>
      <c r="Z54" s="14"/>
      <c r="AA54" s="14"/>
      <c r="AB54" s="14"/>
      <c r="AC54" s="15"/>
      <c r="AD54" s="15"/>
      <c r="AE54" s="15"/>
      <c r="AF54" s="15"/>
      <c r="AG54" s="14"/>
      <c r="AH54" s="14"/>
      <c r="AI54" s="15"/>
      <c r="AJ54" s="15"/>
      <c r="AK54" s="15"/>
      <c r="AL54" s="15"/>
      <c r="AM54" s="15"/>
      <c r="AN54" s="15"/>
      <c r="AO54" s="14"/>
      <c r="AP54" s="16"/>
      <c r="AQ54" s="16"/>
      <c r="AR54" s="14"/>
      <c r="AS54" s="14"/>
      <c r="AT54" s="14"/>
      <c r="AU54" s="14"/>
      <c r="AV54" s="14"/>
      <c r="AW54" s="14"/>
    </row>
    <row r="55" ht="26.25" customHeight="1">
      <c r="A55" s="20"/>
      <c r="B55" s="14"/>
      <c r="C55" s="14"/>
      <c r="D55" s="14"/>
      <c r="E55" s="14"/>
      <c r="F55" s="14"/>
      <c r="G55" s="16"/>
      <c r="H55" s="16"/>
      <c r="I55" s="16"/>
      <c r="J55" s="16"/>
      <c r="K55" s="14"/>
      <c r="L55" s="14"/>
      <c r="M55" s="14"/>
      <c r="N55" s="14"/>
      <c r="O55" s="14"/>
      <c r="P55" s="15"/>
      <c r="Q55" s="14"/>
      <c r="R55" s="14"/>
      <c r="S55" s="15"/>
      <c r="T55" s="15"/>
      <c r="U55" s="15"/>
      <c r="V55" s="14"/>
      <c r="W55" s="14"/>
      <c r="X55" s="14"/>
      <c r="Y55" s="14"/>
      <c r="Z55" s="14"/>
      <c r="AA55" s="14"/>
      <c r="AB55" s="14"/>
      <c r="AC55" s="15"/>
      <c r="AD55" s="15"/>
      <c r="AE55" s="15"/>
      <c r="AF55" s="15"/>
      <c r="AG55" s="14"/>
      <c r="AH55" s="14"/>
      <c r="AI55" s="15"/>
      <c r="AJ55" s="15"/>
      <c r="AK55" s="15"/>
      <c r="AL55" s="15"/>
      <c r="AM55" s="15"/>
      <c r="AN55" s="15"/>
      <c r="AO55" s="14"/>
      <c r="AP55" s="16"/>
      <c r="AQ55" s="16"/>
      <c r="AR55" s="14"/>
      <c r="AS55" s="14"/>
      <c r="AT55" s="14"/>
      <c r="AU55" s="14"/>
      <c r="AV55" s="14"/>
      <c r="AW55" s="14"/>
    </row>
    <row r="56" ht="26.25" customHeight="1">
      <c r="A56" s="20"/>
      <c r="B56" s="14"/>
      <c r="C56" s="14"/>
      <c r="D56" s="14"/>
      <c r="E56" s="14"/>
      <c r="F56" s="14"/>
      <c r="G56" s="16"/>
      <c r="H56" s="16"/>
      <c r="I56" s="16"/>
      <c r="J56" s="16"/>
      <c r="K56" s="14"/>
      <c r="L56" s="14"/>
      <c r="M56" s="14"/>
      <c r="N56" s="14"/>
      <c r="O56" s="14"/>
      <c r="P56" s="15"/>
      <c r="Q56" s="14"/>
      <c r="R56" s="14"/>
      <c r="S56" s="15"/>
      <c r="T56" s="15"/>
      <c r="U56" s="15"/>
      <c r="V56" s="14"/>
      <c r="W56" s="14"/>
      <c r="X56" s="14"/>
      <c r="Y56" s="14"/>
      <c r="Z56" s="14"/>
      <c r="AA56" s="14"/>
      <c r="AB56" s="14"/>
      <c r="AC56" s="15"/>
      <c r="AD56" s="15"/>
      <c r="AE56" s="15"/>
      <c r="AF56" s="15"/>
      <c r="AG56" s="14"/>
      <c r="AH56" s="14"/>
      <c r="AI56" s="15"/>
      <c r="AJ56" s="15"/>
      <c r="AK56" s="15"/>
      <c r="AL56" s="15"/>
      <c r="AM56" s="15"/>
      <c r="AN56" s="15"/>
      <c r="AO56" s="14"/>
      <c r="AP56" s="16"/>
      <c r="AQ56" s="16"/>
      <c r="AR56" s="14"/>
      <c r="AS56" s="14"/>
      <c r="AT56" s="14"/>
      <c r="AU56" s="14"/>
      <c r="AV56" s="14"/>
      <c r="AW56" s="14"/>
    </row>
    <row r="57" ht="26.25" customHeight="1">
      <c r="A57" s="20"/>
      <c r="B57" s="14"/>
      <c r="C57" s="14"/>
      <c r="D57" s="14"/>
      <c r="E57" s="14"/>
      <c r="F57" s="14"/>
      <c r="G57" s="16"/>
      <c r="H57" s="16"/>
      <c r="I57" s="16"/>
      <c r="J57" s="16"/>
      <c r="K57" s="14"/>
      <c r="L57" s="14"/>
      <c r="M57" s="14"/>
      <c r="N57" s="14"/>
      <c r="O57" s="14"/>
      <c r="P57" s="15"/>
      <c r="Q57" s="14"/>
      <c r="R57" s="14"/>
      <c r="S57" s="15"/>
      <c r="T57" s="15"/>
      <c r="U57" s="15"/>
      <c r="V57" s="14"/>
      <c r="W57" s="14"/>
      <c r="X57" s="14"/>
      <c r="Y57" s="14"/>
      <c r="Z57" s="14"/>
      <c r="AA57" s="14"/>
      <c r="AB57" s="14"/>
      <c r="AC57" s="15"/>
      <c r="AD57" s="15"/>
      <c r="AE57" s="15"/>
      <c r="AF57" s="15"/>
      <c r="AG57" s="14"/>
      <c r="AH57" s="14"/>
      <c r="AI57" s="15"/>
      <c r="AJ57" s="15"/>
      <c r="AK57" s="15"/>
      <c r="AL57" s="15"/>
      <c r="AM57" s="15"/>
      <c r="AN57" s="15"/>
      <c r="AO57" s="14"/>
      <c r="AP57" s="16"/>
      <c r="AQ57" s="16"/>
      <c r="AR57" s="14"/>
      <c r="AS57" s="14"/>
      <c r="AT57" s="14"/>
      <c r="AU57" s="14"/>
      <c r="AV57" s="14"/>
      <c r="AW57" s="14"/>
    </row>
    <row r="58" ht="26.25" customHeight="1">
      <c r="A58" s="20"/>
      <c r="B58" s="14"/>
      <c r="C58" s="14"/>
      <c r="D58" s="14"/>
      <c r="E58" s="14"/>
      <c r="F58" s="14"/>
      <c r="G58" s="16"/>
      <c r="H58" s="16"/>
      <c r="I58" s="16"/>
      <c r="J58" s="16"/>
      <c r="K58" s="14"/>
      <c r="L58" s="14"/>
      <c r="M58" s="14"/>
      <c r="N58" s="14"/>
      <c r="O58" s="14"/>
      <c r="P58" s="15"/>
      <c r="Q58" s="14"/>
      <c r="R58" s="14"/>
      <c r="S58" s="15"/>
      <c r="T58" s="15"/>
      <c r="U58" s="15"/>
      <c r="V58" s="14"/>
      <c r="W58" s="14"/>
      <c r="X58" s="14"/>
      <c r="Y58" s="14"/>
      <c r="Z58" s="14"/>
      <c r="AA58" s="14"/>
      <c r="AB58" s="14"/>
      <c r="AC58" s="15"/>
      <c r="AD58" s="15"/>
      <c r="AE58" s="15"/>
      <c r="AF58" s="15"/>
      <c r="AG58" s="14"/>
      <c r="AH58" s="14"/>
      <c r="AI58" s="15"/>
      <c r="AJ58" s="15"/>
      <c r="AK58" s="15"/>
      <c r="AL58" s="15"/>
      <c r="AM58" s="15"/>
      <c r="AN58" s="15"/>
      <c r="AO58" s="14"/>
      <c r="AP58" s="16"/>
      <c r="AQ58" s="16"/>
      <c r="AR58" s="14"/>
      <c r="AS58" s="14"/>
      <c r="AT58" s="14"/>
      <c r="AU58" s="14"/>
      <c r="AV58" s="14"/>
      <c r="AW58" s="14"/>
    </row>
    <row r="59" ht="26.25" customHeight="1">
      <c r="A59" s="20"/>
      <c r="B59" s="14"/>
      <c r="C59" s="14"/>
      <c r="D59" s="14"/>
      <c r="E59" s="14"/>
      <c r="F59" s="14"/>
      <c r="G59" s="16"/>
      <c r="H59" s="16"/>
      <c r="I59" s="16"/>
      <c r="J59" s="16"/>
      <c r="K59" s="14"/>
      <c r="L59" s="14"/>
      <c r="M59" s="14"/>
      <c r="N59" s="14"/>
      <c r="O59" s="14"/>
      <c r="P59" s="15"/>
      <c r="Q59" s="14"/>
      <c r="R59" s="14"/>
      <c r="S59" s="15"/>
      <c r="T59" s="15"/>
      <c r="U59" s="15"/>
      <c r="V59" s="14"/>
      <c r="W59" s="14"/>
      <c r="X59" s="14"/>
      <c r="Y59" s="14"/>
      <c r="Z59" s="14"/>
      <c r="AA59" s="14"/>
      <c r="AB59" s="14"/>
      <c r="AC59" s="15"/>
      <c r="AD59" s="15"/>
      <c r="AE59" s="15"/>
      <c r="AF59" s="15"/>
      <c r="AG59" s="14"/>
      <c r="AH59" s="14"/>
      <c r="AI59" s="15"/>
      <c r="AJ59" s="15"/>
      <c r="AK59" s="15"/>
      <c r="AL59" s="15"/>
      <c r="AM59" s="15"/>
      <c r="AN59" s="15"/>
      <c r="AO59" s="14"/>
      <c r="AP59" s="16"/>
      <c r="AQ59" s="16"/>
      <c r="AR59" s="14"/>
      <c r="AS59" s="14"/>
      <c r="AT59" s="14"/>
      <c r="AU59" s="14"/>
      <c r="AV59" s="14"/>
      <c r="AW59" s="14"/>
    </row>
    <row r="60" ht="26.25" customHeight="1">
      <c r="A60" s="20"/>
      <c r="B60" s="14"/>
      <c r="C60" s="14"/>
      <c r="D60" s="14"/>
      <c r="E60" s="14"/>
      <c r="F60" s="14"/>
      <c r="G60" s="16"/>
      <c r="H60" s="16"/>
      <c r="I60" s="16"/>
      <c r="J60" s="16"/>
      <c r="K60" s="14"/>
      <c r="L60" s="14"/>
      <c r="M60" s="14"/>
      <c r="N60" s="14"/>
      <c r="O60" s="14"/>
      <c r="P60" s="15"/>
      <c r="Q60" s="14"/>
      <c r="R60" s="14"/>
      <c r="S60" s="15"/>
      <c r="T60" s="15"/>
      <c r="U60" s="15"/>
      <c r="V60" s="14"/>
      <c r="W60" s="14"/>
      <c r="X60" s="14"/>
      <c r="Y60" s="14"/>
      <c r="Z60" s="14"/>
      <c r="AA60" s="14"/>
      <c r="AB60" s="14"/>
      <c r="AC60" s="15"/>
      <c r="AD60" s="15"/>
      <c r="AE60" s="15"/>
      <c r="AF60" s="15"/>
      <c r="AG60" s="14"/>
      <c r="AH60" s="14"/>
      <c r="AI60" s="15"/>
      <c r="AJ60" s="15"/>
      <c r="AK60" s="15"/>
      <c r="AL60" s="15"/>
      <c r="AM60" s="15"/>
      <c r="AN60" s="15"/>
      <c r="AO60" s="14"/>
      <c r="AP60" s="16"/>
      <c r="AQ60" s="16"/>
      <c r="AR60" s="14"/>
      <c r="AS60" s="14"/>
      <c r="AT60" s="14"/>
      <c r="AU60" s="14"/>
      <c r="AV60" s="14"/>
      <c r="AW60" s="14"/>
    </row>
    <row r="61" ht="26.25" customHeight="1">
      <c r="A61" s="20"/>
      <c r="B61" s="14"/>
      <c r="C61" s="14"/>
      <c r="D61" s="14"/>
      <c r="E61" s="14"/>
      <c r="F61" s="14"/>
      <c r="G61" s="16"/>
      <c r="H61" s="16"/>
      <c r="I61" s="16"/>
      <c r="J61" s="16"/>
      <c r="K61" s="14"/>
      <c r="L61" s="14"/>
      <c r="M61" s="14"/>
      <c r="N61" s="14"/>
      <c r="O61" s="14"/>
      <c r="P61" s="15"/>
      <c r="Q61" s="14"/>
      <c r="R61" s="14"/>
      <c r="S61" s="15"/>
      <c r="T61" s="15"/>
      <c r="U61" s="15"/>
      <c r="V61" s="14"/>
      <c r="W61" s="14"/>
      <c r="X61" s="14"/>
      <c r="Y61" s="14"/>
      <c r="Z61" s="14"/>
      <c r="AA61" s="14"/>
      <c r="AB61" s="14"/>
      <c r="AC61" s="15"/>
      <c r="AD61" s="15"/>
      <c r="AE61" s="15"/>
      <c r="AF61" s="15"/>
      <c r="AG61" s="14"/>
      <c r="AH61" s="14"/>
      <c r="AI61" s="15"/>
      <c r="AJ61" s="15"/>
      <c r="AK61" s="15"/>
      <c r="AL61" s="15"/>
      <c r="AM61" s="15"/>
      <c r="AN61" s="15"/>
      <c r="AO61" s="14"/>
      <c r="AP61" s="16"/>
      <c r="AQ61" s="16"/>
      <c r="AR61" s="14"/>
      <c r="AS61" s="14"/>
      <c r="AT61" s="14"/>
      <c r="AU61" s="14"/>
      <c r="AV61" s="14"/>
      <c r="AW61" s="14"/>
    </row>
    <row r="62" ht="26.25" customHeight="1">
      <c r="A62" s="20"/>
      <c r="B62" s="14"/>
      <c r="C62" s="14"/>
      <c r="D62" s="14"/>
      <c r="E62" s="14"/>
      <c r="F62" s="14"/>
      <c r="G62" s="16"/>
      <c r="H62" s="16"/>
      <c r="I62" s="16"/>
      <c r="J62" s="16"/>
      <c r="K62" s="14"/>
      <c r="L62" s="14"/>
      <c r="M62" s="14"/>
      <c r="N62" s="14"/>
      <c r="O62" s="14"/>
      <c r="P62" s="15"/>
      <c r="Q62" s="14"/>
      <c r="R62" s="14"/>
      <c r="S62" s="15"/>
      <c r="T62" s="15"/>
      <c r="U62" s="15"/>
      <c r="V62" s="14"/>
      <c r="W62" s="14"/>
      <c r="X62" s="14"/>
      <c r="Y62" s="14"/>
      <c r="Z62" s="14"/>
      <c r="AA62" s="14"/>
      <c r="AB62" s="14"/>
      <c r="AC62" s="15"/>
      <c r="AD62" s="15"/>
      <c r="AE62" s="15"/>
      <c r="AF62" s="15"/>
      <c r="AG62" s="14"/>
      <c r="AH62" s="14"/>
      <c r="AI62" s="15"/>
      <c r="AJ62" s="15"/>
      <c r="AK62" s="15"/>
      <c r="AL62" s="15"/>
      <c r="AM62" s="15"/>
      <c r="AN62" s="15"/>
      <c r="AO62" s="14"/>
      <c r="AP62" s="16"/>
      <c r="AQ62" s="16"/>
      <c r="AR62" s="14"/>
      <c r="AS62" s="14"/>
      <c r="AT62" s="14"/>
      <c r="AU62" s="14"/>
      <c r="AV62" s="14"/>
      <c r="AW62" s="14"/>
    </row>
    <row r="63" ht="26.25" customHeight="1">
      <c r="A63" s="20"/>
      <c r="B63" s="14"/>
      <c r="C63" s="14"/>
      <c r="D63" s="14"/>
      <c r="E63" s="14"/>
      <c r="F63" s="14"/>
      <c r="G63" s="16"/>
      <c r="H63" s="16"/>
      <c r="I63" s="16"/>
      <c r="J63" s="16"/>
      <c r="K63" s="14"/>
      <c r="L63" s="14"/>
      <c r="M63" s="14"/>
      <c r="N63" s="14"/>
      <c r="O63" s="14"/>
      <c r="P63" s="15"/>
      <c r="Q63" s="14"/>
      <c r="R63" s="14"/>
      <c r="S63" s="15"/>
      <c r="T63" s="15"/>
      <c r="U63" s="15"/>
      <c r="V63" s="14"/>
      <c r="W63" s="14"/>
      <c r="X63" s="14"/>
      <c r="Y63" s="14"/>
      <c r="Z63" s="14"/>
      <c r="AA63" s="14"/>
      <c r="AB63" s="14"/>
      <c r="AC63" s="15"/>
      <c r="AD63" s="15"/>
      <c r="AE63" s="15"/>
      <c r="AF63" s="15"/>
      <c r="AG63" s="14"/>
      <c r="AH63" s="14"/>
      <c r="AI63" s="15"/>
      <c r="AJ63" s="15"/>
      <c r="AK63" s="15"/>
      <c r="AL63" s="15"/>
      <c r="AM63" s="15"/>
      <c r="AN63" s="15"/>
      <c r="AO63" s="14"/>
      <c r="AP63" s="16"/>
      <c r="AQ63" s="16"/>
      <c r="AR63" s="14"/>
      <c r="AS63" s="14"/>
      <c r="AT63" s="14"/>
      <c r="AU63" s="14"/>
      <c r="AV63" s="14"/>
      <c r="AW63" s="14"/>
    </row>
    <row r="64" ht="26.25" customHeight="1">
      <c r="A64" s="20"/>
      <c r="B64" s="14"/>
      <c r="C64" s="14"/>
      <c r="D64" s="14"/>
      <c r="E64" s="14"/>
      <c r="F64" s="14"/>
      <c r="G64" s="16"/>
      <c r="H64" s="16"/>
      <c r="I64" s="16"/>
      <c r="J64" s="16"/>
      <c r="K64" s="14"/>
      <c r="L64" s="14"/>
      <c r="M64" s="14"/>
      <c r="N64" s="14"/>
      <c r="O64" s="14"/>
      <c r="P64" s="15"/>
      <c r="Q64" s="14"/>
      <c r="R64" s="14"/>
      <c r="S64" s="15"/>
      <c r="T64" s="15"/>
      <c r="U64" s="15"/>
      <c r="V64" s="14"/>
      <c r="W64" s="14"/>
      <c r="X64" s="14"/>
      <c r="Y64" s="14"/>
      <c r="Z64" s="14"/>
      <c r="AA64" s="14"/>
      <c r="AB64" s="14"/>
      <c r="AC64" s="15"/>
      <c r="AD64" s="15"/>
      <c r="AE64" s="15"/>
      <c r="AF64" s="15"/>
      <c r="AG64" s="14"/>
      <c r="AH64" s="14"/>
      <c r="AI64" s="15"/>
      <c r="AJ64" s="15"/>
      <c r="AK64" s="15"/>
      <c r="AL64" s="15"/>
      <c r="AM64" s="15"/>
      <c r="AN64" s="15"/>
      <c r="AO64" s="14"/>
      <c r="AP64" s="16"/>
      <c r="AQ64" s="16"/>
      <c r="AR64" s="14"/>
      <c r="AS64" s="14"/>
      <c r="AT64" s="14"/>
      <c r="AU64" s="14"/>
      <c r="AV64" s="14"/>
      <c r="AW64" s="14"/>
    </row>
    <row r="65" ht="26.25" customHeight="1">
      <c r="A65" s="20"/>
      <c r="B65" s="14"/>
      <c r="C65" s="14"/>
      <c r="D65" s="14"/>
      <c r="E65" s="14"/>
      <c r="F65" s="14"/>
      <c r="G65" s="16"/>
      <c r="H65" s="16"/>
      <c r="I65" s="16"/>
      <c r="J65" s="16"/>
      <c r="K65" s="14"/>
      <c r="L65" s="14"/>
      <c r="M65" s="14"/>
      <c r="N65" s="14"/>
      <c r="O65" s="14"/>
      <c r="P65" s="15"/>
      <c r="Q65" s="14"/>
      <c r="R65" s="14"/>
      <c r="S65" s="15"/>
      <c r="T65" s="15"/>
      <c r="U65" s="15"/>
      <c r="V65" s="14"/>
      <c r="W65" s="14"/>
      <c r="X65" s="14"/>
      <c r="Y65" s="14"/>
      <c r="Z65" s="14"/>
      <c r="AA65" s="14"/>
      <c r="AB65" s="14"/>
      <c r="AC65" s="15"/>
      <c r="AD65" s="15"/>
      <c r="AE65" s="15"/>
      <c r="AF65" s="15"/>
      <c r="AG65" s="14"/>
      <c r="AH65" s="14"/>
      <c r="AI65" s="15"/>
      <c r="AJ65" s="15"/>
      <c r="AK65" s="15"/>
      <c r="AL65" s="15"/>
      <c r="AM65" s="15"/>
      <c r="AN65" s="15"/>
      <c r="AO65" s="14"/>
      <c r="AP65" s="16"/>
      <c r="AQ65" s="16"/>
      <c r="AR65" s="14"/>
      <c r="AS65" s="14"/>
      <c r="AT65" s="14"/>
      <c r="AU65" s="14"/>
      <c r="AV65" s="14"/>
      <c r="AW65" s="14"/>
    </row>
    <row r="66" ht="26.25" customHeight="1">
      <c r="A66" s="20"/>
      <c r="B66" s="14"/>
      <c r="C66" s="14"/>
      <c r="D66" s="14"/>
      <c r="E66" s="14"/>
      <c r="F66" s="14"/>
      <c r="G66" s="16"/>
      <c r="H66" s="16"/>
      <c r="I66" s="16"/>
      <c r="J66" s="16"/>
      <c r="K66" s="14"/>
      <c r="L66" s="14"/>
      <c r="M66" s="14"/>
      <c r="N66" s="14"/>
      <c r="O66" s="14"/>
      <c r="P66" s="15"/>
      <c r="Q66" s="14"/>
      <c r="R66" s="14"/>
      <c r="S66" s="15"/>
      <c r="T66" s="15"/>
      <c r="U66" s="15"/>
      <c r="V66" s="14"/>
      <c r="W66" s="14"/>
      <c r="X66" s="14"/>
      <c r="Y66" s="14"/>
      <c r="Z66" s="14"/>
      <c r="AA66" s="14"/>
      <c r="AB66" s="14"/>
      <c r="AC66" s="15"/>
      <c r="AD66" s="15"/>
      <c r="AE66" s="15"/>
      <c r="AF66" s="15"/>
      <c r="AG66" s="14"/>
      <c r="AH66" s="14"/>
      <c r="AI66" s="15"/>
      <c r="AJ66" s="15"/>
      <c r="AK66" s="15"/>
      <c r="AL66" s="15"/>
      <c r="AM66" s="15"/>
      <c r="AN66" s="15"/>
      <c r="AO66" s="14"/>
      <c r="AP66" s="16"/>
      <c r="AQ66" s="16"/>
      <c r="AR66" s="14"/>
      <c r="AS66" s="14"/>
      <c r="AT66" s="14"/>
      <c r="AU66" s="14"/>
      <c r="AV66" s="14"/>
      <c r="AW66" s="14"/>
    </row>
    <row r="67" ht="26.25" customHeight="1">
      <c r="A67" s="20"/>
      <c r="B67" s="14"/>
      <c r="C67" s="14"/>
      <c r="D67" s="14"/>
      <c r="E67" s="14"/>
      <c r="F67" s="14"/>
      <c r="G67" s="16"/>
      <c r="H67" s="16"/>
      <c r="I67" s="16"/>
      <c r="J67" s="16"/>
      <c r="K67" s="14"/>
      <c r="L67" s="14"/>
      <c r="M67" s="14"/>
      <c r="N67" s="14"/>
      <c r="O67" s="14"/>
      <c r="P67" s="15"/>
      <c r="Q67" s="14"/>
      <c r="R67" s="14"/>
      <c r="S67" s="15"/>
      <c r="T67" s="15"/>
      <c r="U67" s="15"/>
      <c r="V67" s="14"/>
      <c r="W67" s="14"/>
      <c r="X67" s="14"/>
      <c r="Y67" s="14"/>
      <c r="Z67" s="14"/>
      <c r="AA67" s="14"/>
      <c r="AB67" s="14"/>
      <c r="AC67" s="15"/>
      <c r="AD67" s="15"/>
      <c r="AE67" s="15"/>
      <c r="AF67" s="15"/>
      <c r="AG67" s="14"/>
      <c r="AH67" s="14"/>
      <c r="AI67" s="15"/>
      <c r="AJ67" s="15"/>
      <c r="AK67" s="15"/>
      <c r="AL67" s="15"/>
      <c r="AM67" s="15"/>
      <c r="AN67" s="15"/>
      <c r="AO67" s="14"/>
      <c r="AP67" s="16"/>
      <c r="AQ67" s="16"/>
      <c r="AR67" s="14"/>
      <c r="AS67" s="14"/>
      <c r="AT67" s="14"/>
      <c r="AU67" s="14"/>
      <c r="AV67" s="14"/>
      <c r="AW67" s="14"/>
    </row>
    <row r="68" ht="26.25" customHeight="1">
      <c r="A68" s="20"/>
      <c r="B68" s="14"/>
      <c r="C68" s="14"/>
      <c r="D68" s="14"/>
      <c r="E68" s="14"/>
      <c r="F68" s="14"/>
      <c r="G68" s="16"/>
      <c r="H68" s="16"/>
      <c r="I68" s="16"/>
      <c r="J68" s="16"/>
      <c r="K68" s="14"/>
      <c r="L68" s="14"/>
      <c r="M68" s="14"/>
      <c r="N68" s="14"/>
      <c r="O68" s="14"/>
      <c r="P68" s="15"/>
      <c r="Q68" s="14"/>
      <c r="R68" s="14"/>
      <c r="S68" s="15"/>
      <c r="T68" s="15"/>
      <c r="U68" s="15"/>
      <c r="V68" s="14"/>
      <c r="W68" s="14"/>
      <c r="X68" s="14"/>
      <c r="Y68" s="14"/>
      <c r="Z68" s="14"/>
      <c r="AA68" s="14"/>
      <c r="AB68" s="14"/>
      <c r="AC68" s="15"/>
      <c r="AD68" s="15"/>
      <c r="AE68" s="15"/>
      <c r="AF68" s="15"/>
      <c r="AG68" s="14"/>
      <c r="AH68" s="14"/>
      <c r="AI68" s="15"/>
      <c r="AJ68" s="15"/>
      <c r="AK68" s="15"/>
      <c r="AL68" s="15"/>
      <c r="AM68" s="15"/>
      <c r="AN68" s="15"/>
      <c r="AO68" s="14"/>
      <c r="AP68" s="16"/>
      <c r="AQ68" s="16"/>
      <c r="AR68" s="14"/>
      <c r="AS68" s="14"/>
      <c r="AT68" s="14"/>
      <c r="AU68" s="14"/>
      <c r="AV68" s="14"/>
      <c r="AW68" s="14"/>
    </row>
    <row r="69" ht="26.25" customHeight="1">
      <c r="A69" s="20"/>
      <c r="B69" s="14"/>
      <c r="C69" s="14"/>
      <c r="D69" s="14"/>
      <c r="E69" s="14"/>
      <c r="F69" s="14"/>
      <c r="G69" s="16"/>
      <c r="H69" s="16"/>
      <c r="I69" s="16"/>
      <c r="J69" s="16"/>
      <c r="K69" s="14"/>
      <c r="L69" s="14"/>
      <c r="M69" s="14"/>
      <c r="N69" s="14"/>
      <c r="O69" s="14"/>
      <c r="P69" s="15"/>
      <c r="Q69" s="14"/>
      <c r="R69" s="14"/>
      <c r="S69" s="15"/>
      <c r="T69" s="15"/>
      <c r="U69" s="15"/>
      <c r="V69" s="14"/>
      <c r="W69" s="14"/>
      <c r="X69" s="14"/>
      <c r="Y69" s="14"/>
      <c r="Z69" s="14"/>
      <c r="AA69" s="14"/>
      <c r="AB69" s="14"/>
      <c r="AC69" s="15"/>
      <c r="AD69" s="15"/>
      <c r="AE69" s="15"/>
      <c r="AF69" s="15"/>
      <c r="AG69" s="14"/>
      <c r="AH69" s="14"/>
      <c r="AI69" s="15"/>
      <c r="AJ69" s="15"/>
      <c r="AK69" s="15"/>
      <c r="AL69" s="15"/>
      <c r="AM69" s="15"/>
      <c r="AN69" s="15"/>
      <c r="AO69" s="14"/>
      <c r="AP69" s="16"/>
      <c r="AQ69" s="16"/>
      <c r="AR69" s="14"/>
      <c r="AS69" s="14"/>
      <c r="AT69" s="14"/>
      <c r="AU69" s="14"/>
      <c r="AV69" s="14"/>
      <c r="AW69" s="14"/>
    </row>
    <row r="70" ht="26.25" customHeight="1">
      <c r="A70" s="20"/>
      <c r="B70" s="14"/>
      <c r="C70" s="14"/>
      <c r="D70" s="14"/>
      <c r="E70" s="14"/>
      <c r="F70" s="14"/>
      <c r="G70" s="16"/>
      <c r="H70" s="16"/>
      <c r="I70" s="16"/>
      <c r="J70" s="16"/>
      <c r="K70" s="14"/>
      <c r="L70" s="14"/>
      <c r="M70" s="14"/>
      <c r="N70" s="14"/>
      <c r="O70" s="14"/>
      <c r="P70" s="15"/>
      <c r="Q70" s="14"/>
      <c r="R70" s="14"/>
      <c r="S70" s="15"/>
      <c r="T70" s="15"/>
      <c r="U70" s="15"/>
      <c r="V70" s="14"/>
      <c r="W70" s="14"/>
      <c r="X70" s="14"/>
      <c r="Y70" s="14"/>
      <c r="Z70" s="14"/>
      <c r="AA70" s="14"/>
      <c r="AB70" s="14"/>
      <c r="AC70" s="15"/>
      <c r="AD70" s="15"/>
      <c r="AE70" s="15"/>
      <c r="AF70" s="15"/>
      <c r="AG70" s="14"/>
      <c r="AH70" s="14"/>
      <c r="AI70" s="15"/>
      <c r="AJ70" s="15"/>
      <c r="AK70" s="15"/>
      <c r="AL70" s="15"/>
      <c r="AM70" s="15"/>
      <c r="AN70" s="15"/>
      <c r="AO70" s="14"/>
      <c r="AP70" s="16"/>
      <c r="AQ70" s="16"/>
      <c r="AR70" s="14"/>
      <c r="AS70" s="14"/>
      <c r="AT70" s="14"/>
      <c r="AU70" s="14"/>
      <c r="AV70" s="14"/>
      <c r="AW70" s="14"/>
    </row>
    <row r="71" ht="26.25" customHeight="1">
      <c r="A71" s="20"/>
      <c r="B71" s="14"/>
      <c r="C71" s="14"/>
      <c r="D71" s="14"/>
      <c r="E71" s="14"/>
      <c r="F71" s="14"/>
      <c r="G71" s="16"/>
      <c r="H71" s="16"/>
      <c r="I71" s="16"/>
      <c r="J71" s="16"/>
      <c r="K71" s="14"/>
      <c r="L71" s="14"/>
      <c r="M71" s="14"/>
      <c r="N71" s="14"/>
      <c r="O71" s="14"/>
      <c r="P71" s="15"/>
      <c r="Q71" s="14"/>
      <c r="R71" s="14"/>
      <c r="S71" s="15"/>
      <c r="T71" s="15"/>
      <c r="U71" s="15"/>
      <c r="V71" s="14"/>
      <c r="W71" s="14"/>
      <c r="X71" s="14"/>
      <c r="Y71" s="14"/>
      <c r="Z71" s="14"/>
      <c r="AA71" s="14"/>
      <c r="AB71" s="14"/>
      <c r="AC71" s="15"/>
      <c r="AD71" s="15"/>
      <c r="AE71" s="15"/>
      <c r="AF71" s="15"/>
      <c r="AG71" s="14"/>
      <c r="AH71" s="14"/>
      <c r="AI71" s="15"/>
      <c r="AJ71" s="15"/>
      <c r="AK71" s="15"/>
      <c r="AL71" s="15"/>
      <c r="AM71" s="15"/>
      <c r="AN71" s="15"/>
      <c r="AO71" s="14"/>
      <c r="AP71" s="16"/>
      <c r="AQ71" s="16"/>
      <c r="AR71" s="14"/>
      <c r="AS71" s="14"/>
      <c r="AT71" s="14"/>
      <c r="AU71" s="14"/>
      <c r="AV71" s="14"/>
      <c r="AW71" s="14"/>
    </row>
    <row r="72" ht="26.25" customHeight="1">
      <c r="A72" s="20"/>
      <c r="B72" s="14"/>
      <c r="C72" s="14"/>
      <c r="D72" s="14"/>
      <c r="E72" s="14"/>
      <c r="F72" s="14"/>
      <c r="G72" s="16"/>
      <c r="H72" s="16"/>
      <c r="I72" s="16"/>
      <c r="J72" s="16"/>
      <c r="K72" s="14"/>
      <c r="L72" s="14"/>
      <c r="M72" s="14"/>
      <c r="N72" s="14"/>
      <c r="O72" s="14"/>
      <c r="P72" s="15"/>
      <c r="Q72" s="14"/>
      <c r="R72" s="14"/>
      <c r="S72" s="15"/>
      <c r="T72" s="15"/>
      <c r="U72" s="15"/>
      <c r="V72" s="14"/>
      <c r="W72" s="14"/>
      <c r="X72" s="14"/>
      <c r="Y72" s="14"/>
      <c r="Z72" s="14"/>
      <c r="AA72" s="14"/>
      <c r="AB72" s="14"/>
      <c r="AC72" s="15"/>
      <c r="AD72" s="15"/>
      <c r="AE72" s="15"/>
      <c r="AF72" s="15"/>
      <c r="AG72" s="14"/>
      <c r="AH72" s="14"/>
      <c r="AI72" s="15"/>
      <c r="AJ72" s="15"/>
      <c r="AK72" s="15"/>
      <c r="AL72" s="15"/>
      <c r="AM72" s="15"/>
      <c r="AN72" s="15"/>
      <c r="AO72" s="14"/>
      <c r="AP72" s="16"/>
      <c r="AQ72" s="16"/>
      <c r="AR72" s="14"/>
      <c r="AS72" s="14"/>
      <c r="AT72" s="14"/>
      <c r="AU72" s="14"/>
      <c r="AV72" s="14"/>
      <c r="AW72" s="14"/>
    </row>
    <row r="73" ht="26.25" customHeight="1">
      <c r="A73" s="20"/>
      <c r="B73" s="14"/>
      <c r="C73" s="14"/>
      <c r="D73" s="14"/>
      <c r="E73" s="14"/>
      <c r="F73" s="14"/>
      <c r="G73" s="16"/>
      <c r="H73" s="16"/>
      <c r="I73" s="16"/>
      <c r="J73" s="16"/>
      <c r="K73" s="14"/>
      <c r="L73" s="14"/>
      <c r="M73" s="14"/>
      <c r="N73" s="14"/>
      <c r="O73" s="14"/>
      <c r="P73" s="15"/>
      <c r="Q73" s="14"/>
      <c r="R73" s="14"/>
      <c r="S73" s="15"/>
      <c r="T73" s="15"/>
      <c r="U73" s="15"/>
      <c r="V73" s="14"/>
      <c r="W73" s="14"/>
      <c r="X73" s="14"/>
      <c r="Y73" s="14"/>
      <c r="Z73" s="14"/>
      <c r="AA73" s="14"/>
      <c r="AB73" s="14"/>
      <c r="AC73" s="15"/>
      <c r="AD73" s="15"/>
      <c r="AE73" s="15"/>
      <c r="AF73" s="15"/>
      <c r="AG73" s="14"/>
      <c r="AH73" s="14"/>
      <c r="AI73" s="15"/>
      <c r="AJ73" s="15"/>
      <c r="AK73" s="15"/>
      <c r="AL73" s="15"/>
      <c r="AM73" s="15"/>
      <c r="AN73" s="15"/>
      <c r="AO73" s="14"/>
      <c r="AP73" s="16"/>
      <c r="AQ73" s="16"/>
      <c r="AR73" s="14"/>
      <c r="AS73" s="14"/>
      <c r="AT73" s="14"/>
      <c r="AU73" s="14"/>
      <c r="AV73" s="14"/>
      <c r="AW73" s="14"/>
    </row>
    <row r="74" ht="26.25" customHeight="1">
      <c r="A74" s="20"/>
      <c r="B74" s="14"/>
      <c r="C74" s="14"/>
      <c r="D74" s="14"/>
      <c r="E74" s="14"/>
      <c r="F74" s="14"/>
      <c r="G74" s="16"/>
      <c r="H74" s="16"/>
      <c r="I74" s="16"/>
      <c r="J74" s="16"/>
      <c r="K74" s="14"/>
      <c r="L74" s="14"/>
      <c r="M74" s="14"/>
      <c r="N74" s="14"/>
      <c r="O74" s="14"/>
      <c r="P74" s="15"/>
      <c r="Q74" s="14"/>
      <c r="R74" s="14"/>
      <c r="S74" s="15"/>
      <c r="T74" s="15"/>
      <c r="U74" s="15"/>
      <c r="V74" s="14"/>
      <c r="W74" s="14"/>
      <c r="X74" s="14"/>
      <c r="Y74" s="14"/>
      <c r="Z74" s="14"/>
      <c r="AA74" s="14"/>
      <c r="AB74" s="14"/>
      <c r="AC74" s="15"/>
      <c r="AD74" s="15"/>
      <c r="AE74" s="15"/>
      <c r="AF74" s="15"/>
      <c r="AG74" s="14"/>
      <c r="AH74" s="14"/>
      <c r="AI74" s="15"/>
      <c r="AJ74" s="15"/>
      <c r="AK74" s="15"/>
      <c r="AL74" s="15"/>
      <c r="AM74" s="15"/>
      <c r="AN74" s="15"/>
      <c r="AO74" s="14"/>
      <c r="AP74" s="16"/>
      <c r="AQ74" s="16"/>
      <c r="AR74" s="14"/>
      <c r="AS74" s="14"/>
      <c r="AT74" s="14"/>
      <c r="AU74" s="14"/>
      <c r="AV74" s="14"/>
      <c r="AW74" s="14"/>
    </row>
    <row r="75" ht="26.25" customHeight="1">
      <c r="A75" s="20"/>
      <c r="B75" s="14"/>
      <c r="C75" s="14"/>
      <c r="D75" s="14"/>
      <c r="E75" s="14"/>
      <c r="F75" s="14"/>
      <c r="G75" s="16"/>
      <c r="H75" s="16"/>
      <c r="I75" s="16"/>
      <c r="J75" s="16"/>
      <c r="K75" s="14"/>
      <c r="L75" s="14"/>
      <c r="M75" s="14"/>
      <c r="N75" s="14"/>
      <c r="O75" s="14"/>
      <c r="P75" s="15"/>
      <c r="Q75" s="14"/>
      <c r="R75" s="14"/>
      <c r="S75" s="15"/>
      <c r="T75" s="15"/>
      <c r="U75" s="15"/>
      <c r="V75" s="14"/>
      <c r="W75" s="14"/>
      <c r="X75" s="14"/>
      <c r="Y75" s="14"/>
      <c r="Z75" s="14"/>
      <c r="AA75" s="14"/>
      <c r="AB75" s="14"/>
      <c r="AC75" s="15"/>
      <c r="AD75" s="15"/>
      <c r="AE75" s="15"/>
      <c r="AF75" s="15"/>
      <c r="AG75" s="14"/>
      <c r="AH75" s="14"/>
      <c r="AI75" s="15"/>
      <c r="AJ75" s="15"/>
      <c r="AK75" s="15"/>
      <c r="AL75" s="15"/>
      <c r="AM75" s="15"/>
      <c r="AN75" s="15"/>
      <c r="AO75" s="14"/>
      <c r="AP75" s="16"/>
      <c r="AQ75" s="16"/>
      <c r="AR75" s="14"/>
      <c r="AS75" s="14"/>
      <c r="AT75" s="14"/>
      <c r="AU75" s="14"/>
      <c r="AV75" s="14"/>
      <c r="AW75" s="14"/>
    </row>
    <row r="76" ht="26.25" customHeight="1">
      <c r="A76" s="20"/>
      <c r="B76" s="14"/>
      <c r="C76" s="14"/>
      <c r="D76" s="14"/>
      <c r="E76" s="14"/>
      <c r="F76" s="14"/>
      <c r="G76" s="16"/>
      <c r="H76" s="16"/>
      <c r="I76" s="16"/>
      <c r="J76" s="16"/>
      <c r="K76" s="14"/>
      <c r="L76" s="14"/>
      <c r="M76" s="14"/>
      <c r="N76" s="14"/>
      <c r="O76" s="14"/>
      <c r="P76" s="15"/>
      <c r="Q76" s="14"/>
      <c r="R76" s="14"/>
      <c r="S76" s="15"/>
      <c r="T76" s="15"/>
      <c r="U76" s="15"/>
      <c r="V76" s="14"/>
      <c r="W76" s="14"/>
      <c r="X76" s="14"/>
      <c r="Y76" s="14"/>
      <c r="Z76" s="14"/>
      <c r="AA76" s="14"/>
      <c r="AB76" s="14"/>
      <c r="AC76" s="15"/>
      <c r="AD76" s="15"/>
      <c r="AE76" s="15"/>
      <c r="AF76" s="15"/>
      <c r="AG76" s="14"/>
      <c r="AH76" s="14"/>
      <c r="AI76" s="15"/>
      <c r="AJ76" s="15"/>
      <c r="AK76" s="15"/>
      <c r="AL76" s="15"/>
      <c r="AM76" s="15"/>
      <c r="AN76" s="15"/>
      <c r="AO76" s="14"/>
      <c r="AP76" s="16"/>
      <c r="AQ76" s="16"/>
      <c r="AR76" s="14"/>
      <c r="AS76" s="14"/>
      <c r="AT76" s="14"/>
      <c r="AU76" s="14"/>
      <c r="AV76" s="14"/>
      <c r="AW76" s="14"/>
    </row>
    <row r="77" ht="26.25" customHeight="1">
      <c r="A77" s="20"/>
      <c r="B77" s="14"/>
      <c r="C77" s="14"/>
      <c r="D77" s="14"/>
      <c r="E77" s="14"/>
      <c r="F77" s="14"/>
      <c r="G77" s="16"/>
      <c r="H77" s="16"/>
      <c r="I77" s="16"/>
      <c r="J77" s="16"/>
      <c r="K77" s="14"/>
      <c r="L77" s="14"/>
      <c r="M77" s="14"/>
      <c r="N77" s="14"/>
      <c r="O77" s="14"/>
      <c r="P77" s="15"/>
      <c r="Q77" s="14"/>
      <c r="R77" s="14"/>
      <c r="S77" s="15"/>
      <c r="T77" s="15"/>
      <c r="U77" s="15"/>
      <c r="V77" s="14"/>
      <c r="W77" s="14"/>
      <c r="X77" s="14"/>
      <c r="Y77" s="14"/>
      <c r="Z77" s="14"/>
      <c r="AA77" s="14"/>
      <c r="AB77" s="14"/>
      <c r="AC77" s="15"/>
      <c r="AD77" s="15"/>
      <c r="AE77" s="15"/>
      <c r="AF77" s="15"/>
      <c r="AG77" s="14"/>
      <c r="AH77" s="14"/>
      <c r="AI77" s="15"/>
      <c r="AJ77" s="15"/>
      <c r="AK77" s="15"/>
      <c r="AL77" s="15"/>
      <c r="AM77" s="15"/>
      <c r="AN77" s="15"/>
      <c r="AO77" s="14"/>
      <c r="AP77" s="16"/>
      <c r="AQ77" s="16"/>
      <c r="AR77" s="14"/>
      <c r="AS77" s="14"/>
      <c r="AT77" s="14"/>
      <c r="AU77" s="14"/>
      <c r="AV77" s="14"/>
      <c r="AW77" s="14"/>
    </row>
    <row r="78" ht="26.25" customHeight="1">
      <c r="A78" s="20"/>
      <c r="B78" s="14"/>
      <c r="C78" s="14"/>
      <c r="D78" s="14"/>
      <c r="E78" s="14"/>
      <c r="F78" s="14"/>
      <c r="G78" s="16"/>
      <c r="H78" s="16"/>
      <c r="I78" s="16"/>
      <c r="J78" s="16"/>
      <c r="K78" s="14"/>
      <c r="L78" s="14"/>
      <c r="M78" s="14"/>
      <c r="N78" s="14"/>
      <c r="O78" s="14"/>
      <c r="P78" s="15"/>
      <c r="Q78" s="14"/>
      <c r="R78" s="14"/>
      <c r="S78" s="15"/>
      <c r="T78" s="15"/>
      <c r="U78" s="15"/>
      <c r="V78" s="14"/>
      <c r="W78" s="14"/>
      <c r="X78" s="14"/>
      <c r="Y78" s="14"/>
      <c r="Z78" s="14"/>
      <c r="AA78" s="14"/>
      <c r="AB78" s="14"/>
      <c r="AC78" s="15"/>
      <c r="AD78" s="15"/>
      <c r="AE78" s="15"/>
      <c r="AF78" s="15"/>
      <c r="AG78" s="14"/>
      <c r="AH78" s="14"/>
      <c r="AI78" s="15"/>
      <c r="AJ78" s="15"/>
      <c r="AK78" s="15"/>
      <c r="AL78" s="15"/>
      <c r="AM78" s="15"/>
      <c r="AN78" s="15"/>
      <c r="AO78" s="14"/>
      <c r="AP78" s="16"/>
      <c r="AQ78" s="16"/>
      <c r="AR78" s="14"/>
      <c r="AS78" s="14"/>
      <c r="AT78" s="14"/>
      <c r="AU78" s="14"/>
      <c r="AV78" s="14"/>
      <c r="AW78" s="14"/>
    </row>
    <row r="79" ht="26.25" customHeight="1">
      <c r="A79" s="20"/>
      <c r="B79" s="14"/>
      <c r="C79" s="14"/>
      <c r="D79" s="14"/>
      <c r="E79" s="14"/>
      <c r="F79" s="14"/>
      <c r="G79" s="16"/>
      <c r="H79" s="16"/>
      <c r="I79" s="16"/>
      <c r="J79" s="16"/>
      <c r="K79" s="14"/>
      <c r="L79" s="14"/>
      <c r="M79" s="14"/>
      <c r="N79" s="14"/>
      <c r="O79" s="14"/>
      <c r="P79" s="15"/>
      <c r="Q79" s="14"/>
      <c r="R79" s="14"/>
      <c r="S79" s="15"/>
      <c r="T79" s="15"/>
      <c r="U79" s="15"/>
      <c r="V79" s="14"/>
      <c r="W79" s="14"/>
      <c r="X79" s="14"/>
      <c r="Y79" s="14"/>
      <c r="Z79" s="14"/>
      <c r="AA79" s="14"/>
      <c r="AB79" s="14"/>
      <c r="AC79" s="15"/>
      <c r="AD79" s="15"/>
      <c r="AE79" s="15"/>
      <c r="AF79" s="15"/>
      <c r="AG79" s="14"/>
      <c r="AH79" s="14"/>
      <c r="AI79" s="15"/>
      <c r="AJ79" s="15"/>
      <c r="AK79" s="15"/>
      <c r="AL79" s="15"/>
      <c r="AM79" s="15"/>
      <c r="AN79" s="15"/>
      <c r="AO79" s="14"/>
      <c r="AP79" s="16"/>
      <c r="AQ79" s="16"/>
      <c r="AR79" s="14"/>
      <c r="AS79" s="14"/>
      <c r="AT79" s="14"/>
      <c r="AU79" s="14"/>
      <c r="AV79" s="14"/>
      <c r="AW79" s="14"/>
    </row>
    <row r="80" ht="26.25" customHeight="1">
      <c r="A80" s="20"/>
      <c r="B80" s="14"/>
      <c r="C80" s="14"/>
      <c r="D80" s="14"/>
      <c r="E80" s="14"/>
      <c r="F80" s="14"/>
      <c r="G80" s="16"/>
      <c r="H80" s="16"/>
      <c r="I80" s="16"/>
      <c r="J80" s="16"/>
      <c r="K80" s="14"/>
      <c r="L80" s="14"/>
      <c r="M80" s="14"/>
      <c r="N80" s="14"/>
      <c r="O80" s="14"/>
      <c r="P80" s="15"/>
      <c r="Q80" s="14"/>
      <c r="R80" s="14"/>
      <c r="S80" s="15"/>
      <c r="T80" s="15"/>
      <c r="U80" s="15"/>
      <c r="V80" s="14"/>
      <c r="W80" s="14"/>
      <c r="X80" s="14"/>
      <c r="Y80" s="14"/>
      <c r="Z80" s="14"/>
      <c r="AA80" s="14"/>
      <c r="AB80" s="14"/>
      <c r="AC80" s="15"/>
      <c r="AD80" s="15"/>
      <c r="AE80" s="15"/>
      <c r="AF80" s="15"/>
      <c r="AG80" s="14"/>
      <c r="AH80" s="14"/>
      <c r="AI80" s="15"/>
      <c r="AJ80" s="15"/>
      <c r="AK80" s="15"/>
      <c r="AL80" s="15"/>
      <c r="AM80" s="15"/>
      <c r="AN80" s="15"/>
      <c r="AO80" s="14"/>
      <c r="AP80" s="16"/>
      <c r="AQ80" s="16"/>
      <c r="AR80" s="14"/>
      <c r="AS80" s="14"/>
      <c r="AT80" s="14"/>
      <c r="AU80" s="14"/>
      <c r="AV80" s="14"/>
      <c r="AW80" s="14"/>
    </row>
    <row r="81" ht="26.25" customHeight="1">
      <c r="A81" s="20"/>
      <c r="B81" s="14"/>
      <c r="C81" s="14"/>
      <c r="D81" s="14"/>
      <c r="E81" s="14"/>
      <c r="F81" s="14"/>
      <c r="G81" s="16"/>
      <c r="H81" s="16"/>
      <c r="I81" s="16"/>
      <c r="J81" s="16"/>
      <c r="K81" s="14"/>
      <c r="L81" s="14"/>
      <c r="M81" s="14"/>
      <c r="N81" s="14"/>
      <c r="O81" s="14"/>
      <c r="P81" s="15"/>
      <c r="Q81" s="14"/>
      <c r="R81" s="14"/>
      <c r="S81" s="15"/>
      <c r="T81" s="15"/>
      <c r="U81" s="15"/>
      <c r="V81" s="14"/>
      <c r="W81" s="14"/>
      <c r="X81" s="14"/>
      <c r="Y81" s="14"/>
      <c r="Z81" s="14"/>
      <c r="AA81" s="14"/>
      <c r="AB81" s="14"/>
      <c r="AC81" s="15"/>
      <c r="AD81" s="15"/>
      <c r="AE81" s="15"/>
      <c r="AF81" s="15"/>
      <c r="AG81" s="14"/>
      <c r="AH81" s="14"/>
      <c r="AI81" s="15"/>
      <c r="AJ81" s="15"/>
      <c r="AK81" s="15"/>
      <c r="AL81" s="15"/>
      <c r="AM81" s="15"/>
      <c r="AN81" s="15"/>
      <c r="AO81" s="14"/>
      <c r="AP81" s="16"/>
      <c r="AQ81" s="16"/>
      <c r="AR81" s="14"/>
      <c r="AS81" s="14"/>
      <c r="AT81" s="14"/>
      <c r="AU81" s="14"/>
      <c r="AV81" s="14"/>
      <c r="AW81" s="14"/>
    </row>
    <row r="82" ht="26.25" customHeight="1">
      <c r="A82" s="20"/>
      <c r="B82" s="14"/>
      <c r="C82" s="14"/>
      <c r="D82" s="14"/>
      <c r="E82" s="14"/>
      <c r="F82" s="14"/>
      <c r="G82" s="16"/>
      <c r="H82" s="16"/>
      <c r="I82" s="16"/>
      <c r="J82" s="16"/>
      <c r="K82" s="14"/>
      <c r="L82" s="14"/>
      <c r="M82" s="14"/>
      <c r="N82" s="14"/>
      <c r="O82" s="14"/>
      <c r="P82" s="15"/>
      <c r="Q82" s="14"/>
      <c r="R82" s="14"/>
      <c r="S82" s="15"/>
      <c r="T82" s="15"/>
      <c r="U82" s="15"/>
      <c r="V82" s="14"/>
      <c r="W82" s="14"/>
      <c r="X82" s="14"/>
      <c r="Y82" s="14"/>
      <c r="Z82" s="14"/>
      <c r="AA82" s="14"/>
      <c r="AB82" s="14"/>
      <c r="AC82" s="15"/>
      <c r="AD82" s="15"/>
      <c r="AE82" s="15"/>
      <c r="AF82" s="15"/>
      <c r="AG82" s="14"/>
      <c r="AH82" s="14"/>
      <c r="AI82" s="15"/>
      <c r="AJ82" s="15"/>
      <c r="AK82" s="15"/>
      <c r="AL82" s="15"/>
      <c r="AM82" s="15"/>
      <c r="AN82" s="15"/>
      <c r="AO82" s="14"/>
      <c r="AP82" s="16"/>
      <c r="AQ82" s="16"/>
      <c r="AR82" s="14"/>
      <c r="AS82" s="14"/>
      <c r="AT82" s="14"/>
      <c r="AU82" s="14"/>
      <c r="AV82" s="14"/>
      <c r="AW82" s="14"/>
    </row>
    <row r="83" ht="26.25" customHeight="1">
      <c r="A83" s="20"/>
      <c r="B83" s="14"/>
      <c r="C83" s="14"/>
      <c r="D83" s="14"/>
      <c r="E83" s="14"/>
      <c r="F83" s="14"/>
      <c r="G83" s="16"/>
      <c r="H83" s="16"/>
      <c r="I83" s="16"/>
      <c r="J83" s="16"/>
      <c r="K83" s="14"/>
      <c r="L83" s="14"/>
      <c r="M83" s="14"/>
      <c r="N83" s="14"/>
      <c r="O83" s="14"/>
      <c r="P83" s="15"/>
      <c r="Q83" s="14"/>
      <c r="R83" s="14"/>
      <c r="S83" s="15"/>
      <c r="T83" s="15"/>
      <c r="U83" s="15"/>
      <c r="V83" s="14"/>
      <c r="W83" s="14"/>
      <c r="X83" s="14"/>
      <c r="Y83" s="14"/>
      <c r="Z83" s="14"/>
      <c r="AA83" s="14"/>
      <c r="AB83" s="14"/>
      <c r="AC83" s="15"/>
      <c r="AD83" s="15"/>
      <c r="AE83" s="15"/>
      <c r="AF83" s="15"/>
      <c r="AG83" s="14"/>
      <c r="AH83" s="14"/>
      <c r="AI83" s="15"/>
      <c r="AJ83" s="15"/>
      <c r="AK83" s="15"/>
      <c r="AL83" s="15"/>
      <c r="AM83" s="15"/>
      <c r="AN83" s="15"/>
      <c r="AO83" s="14"/>
      <c r="AP83" s="16"/>
      <c r="AQ83" s="16"/>
      <c r="AR83" s="14"/>
      <c r="AS83" s="14"/>
      <c r="AT83" s="14"/>
      <c r="AU83" s="14"/>
      <c r="AV83" s="14"/>
      <c r="AW83" s="14"/>
    </row>
    <row r="84" ht="26.25" customHeight="1">
      <c r="A84" s="20"/>
      <c r="B84" s="14"/>
      <c r="C84" s="14"/>
      <c r="D84" s="14"/>
      <c r="E84" s="14"/>
      <c r="F84" s="14"/>
      <c r="G84" s="16"/>
      <c r="H84" s="16"/>
      <c r="I84" s="16"/>
      <c r="J84" s="16"/>
      <c r="K84" s="14"/>
      <c r="L84" s="14"/>
      <c r="M84" s="14"/>
      <c r="N84" s="14"/>
      <c r="O84" s="14"/>
      <c r="P84" s="15"/>
      <c r="Q84" s="14"/>
      <c r="R84" s="14"/>
      <c r="S84" s="15"/>
      <c r="T84" s="15"/>
      <c r="U84" s="15"/>
      <c r="V84" s="14"/>
      <c r="W84" s="14"/>
      <c r="X84" s="14"/>
      <c r="Y84" s="14"/>
      <c r="Z84" s="14"/>
      <c r="AA84" s="14"/>
      <c r="AB84" s="14"/>
      <c r="AC84" s="15"/>
      <c r="AD84" s="15"/>
      <c r="AE84" s="15"/>
      <c r="AF84" s="15"/>
      <c r="AG84" s="14"/>
      <c r="AH84" s="14"/>
      <c r="AI84" s="15"/>
      <c r="AJ84" s="15"/>
      <c r="AK84" s="15"/>
      <c r="AL84" s="15"/>
      <c r="AM84" s="15"/>
      <c r="AN84" s="15"/>
      <c r="AO84" s="14"/>
      <c r="AP84" s="16"/>
      <c r="AQ84" s="16"/>
      <c r="AR84" s="14"/>
      <c r="AS84" s="14"/>
      <c r="AT84" s="14"/>
      <c r="AU84" s="14"/>
      <c r="AV84" s="14"/>
      <c r="AW84" s="14"/>
    </row>
    <row r="85" ht="26.25" customHeight="1">
      <c r="A85" s="20"/>
      <c r="B85" s="14"/>
      <c r="C85" s="14"/>
      <c r="D85" s="14"/>
      <c r="E85" s="14"/>
      <c r="F85" s="14"/>
      <c r="G85" s="16"/>
      <c r="H85" s="16"/>
      <c r="I85" s="16"/>
      <c r="J85" s="16"/>
      <c r="K85" s="14"/>
      <c r="L85" s="14"/>
      <c r="M85" s="14"/>
      <c r="N85" s="14"/>
      <c r="O85" s="14"/>
      <c r="P85" s="15"/>
      <c r="Q85" s="14"/>
      <c r="R85" s="14"/>
      <c r="S85" s="15"/>
      <c r="T85" s="15"/>
      <c r="U85" s="15"/>
      <c r="V85" s="14"/>
      <c r="W85" s="14"/>
      <c r="X85" s="14"/>
      <c r="Y85" s="14"/>
      <c r="Z85" s="14"/>
      <c r="AA85" s="14"/>
      <c r="AB85" s="14"/>
      <c r="AC85" s="15"/>
      <c r="AD85" s="15"/>
      <c r="AE85" s="15"/>
      <c r="AF85" s="15"/>
      <c r="AG85" s="14"/>
      <c r="AH85" s="14"/>
      <c r="AI85" s="15"/>
      <c r="AJ85" s="15"/>
      <c r="AK85" s="15"/>
      <c r="AL85" s="15"/>
      <c r="AM85" s="15"/>
      <c r="AN85" s="15"/>
      <c r="AO85" s="14"/>
      <c r="AP85" s="16"/>
      <c r="AQ85" s="16"/>
      <c r="AR85" s="14"/>
      <c r="AS85" s="14"/>
      <c r="AT85" s="14"/>
      <c r="AU85" s="14"/>
      <c r="AV85" s="14"/>
      <c r="AW85" s="14"/>
    </row>
    <row r="86" ht="26.25" customHeight="1">
      <c r="A86" s="20"/>
      <c r="B86" s="14"/>
      <c r="C86" s="14"/>
      <c r="D86" s="14"/>
      <c r="E86" s="14"/>
      <c r="F86" s="14"/>
      <c r="G86" s="16"/>
      <c r="H86" s="16"/>
      <c r="I86" s="16"/>
      <c r="J86" s="16"/>
      <c r="K86" s="14"/>
      <c r="L86" s="14"/>
      <c r="M86" s="14"/>
      <c r="N86" s="14"/>
      <c r="O86" s="14"/>
      <c r="P86" s="15"/>
      <c r="Q86" s="14"/>
      <c r="R86" s="14"/>
      <c r="S86" s="15"/>
      <c r="T86" s="15"/>
      <c r="U86" s="15"/>
      <c r="V86" s="14"/>
      <c r="W86" s="14"/>
      <c r="X86" s="14"/>
      <c r="Y86" s="14"/>
      <c r="Z86" s="14"/>
      <c r="AA86" s="14"/>
      <c r="AB86" s="14"/>
      <c r="AC86" s="15"/>
      <c r="AD86" s="15"/>
      <c r="AE86" s="15"/>
      <c r="AF86" s="15"/>
      <c r="AG86" s="14"/>
      <c r="AH86" s="14"/>
      <c r="AI86" s="15"/>
      <c r="AJ86" s="15"/>
      <c r="AK86" s="15"/>
      <c r="AL86" s="15"/>
      <c r="AM86" s="15"/>
      <c r="AN86" s="15"/>
      <c r="AO86" s="14"/>
      <c r="AP86" s="16"/>
      <c r="AQ86" s="16"/>
      <c r="AR86" s="14"/>
      <c r="AS86" s="14"/>
      <c r="AT86" s="14"/>
      <c r="AU86" s="14"/>
      <c r="AV86" s="14"/>
      <c r="AW86" s="14"/>
    </row>
    <row r="87" ht="26.25" customHeight="1">
      <c r="A87" s="20"/>
      <c r="B87" s="14"/>
      <c r="C87" s="14"/>
      <c r="D87" s="14"/>
      <c r="E87" s="14"/>
      <c r="F87" s="14"/>
      <c r="G87" s="16"/>
      <c r="H87" s="16"/>
      <c r="I87" s="16"/>
      <c r="J87" s="16"/>
      <c r="K87" s="14"/>
      <c r="L87" s="14"/>
      <c r="M87" s="14"/>
      <c r="N87" s="14"/>
      <c r="O87" s="14"/>
      <c r="P87" s="15"/>
      <c r="Q87" s="14"/>
      <c r="R87" s="14"/>
      <c r="S87" s="15"/>
      <c r="T87" s="15"/>
      <c r="U87" s="15"/>
      <c r="V87" s="14"/>
      <c r="W87" s="14"/>
      <c r="X87" s="14"/>
      <c r="Y87" s="14"/>
      <c r="Z87" s="14"/>
      <c r="AA87" s="14"/>
      <c r="AB87" s="14"/>
      <c r="AC87" s="15"/>
      <c r="AD87" s="15"/>
      <c r="AE87" s="15"/>
      <c r="AF87" s="15"/>
      <c r="AG87" s="14"/>
      <c r="AH87" s="14"/>
      <c r="AI87" s="15"/>
      <c r="AJ87" s="15"/>
      <c r="AK87" s="15"/>
      <c r="AL87" s="15"/>
      <c r="AM87" s="15"/>
      <c r="AN87" s="15"/>
      <c r="AO87" s="14"/>
      <c r="AP87" s="16"/>
      <c r="AQ87" s="16"/>
      <c r="AR87" s="14"/>
      <c r="AS87" s="14"/>
      <c r="AT87" s="14"/>
      <c r="AU87" s="14"/>
      <c r="AV87" s="14"/>
      <c r="AW87" s="14"/>
    </row>
    <row r="88" ht="26.25" customHeight="1">
      <c r="A88" s="20"/>
      <c r="B88" s="14"/>
      <c r="C88" s="14"/>
      <c r="D88" s="14"/>
      <c r="E88" s="14"/>
      <c r="F88" s="14"/>
      <c r="G88" s="16"/>
      <c r="H88" s="16"/>
      <c r="I88" s="16"/>
      <c r="J88" s="16"/>
      <c r="K88" s="14"/>
      <c r="L88" s="14"/>
      <c r="M88" s="14"/>
      <c r="N88" s="14"/>
      <c r="O88" s="14"/>
      <c r="P88" s="15"/>
      <c r="Q88" s="14"/>
      <c r="R88" s="14"/>
      <c r="S88" s="15"/>
      <c r="T88" s="15"/>
      <c r="U88" s="15"/>
      <c r="V88" s="14"/>
      <c r="W88" s="14"/>
      <c r="X88" s="14"/>
      <c r="Y88" s="14"/>
      <c r="Z88" s="14"/>
      <c r="AA88" s="14"/>
      <c r="AB88" s="14"/>
      <c r="AC88" s="15"/>
      <c r="AD88" s="15"/>
      <c r="AE88" s="15"/>
      <c r="AF88" s="15"/>
      <c r="AG88" s="14"/>
      <c r="AH88" s="14"/>
      <c r="AI88" s="15"/>
      <c r="AJ88" s="15"/>
      <c r="AK88" s="15"/>
      <c r="AL88" s="15"/>
      <c r="AM88" s="15"/>
      <c r="AN88" s="15"/>
      <c r="AO88" s="14"/>
      <c r="AP88" s="16"/>
      <c r="AQ88" s="16"/>
      <c r="AR88" s="14"/>
      <c r="AS88" s="14"/>
      <c r="AT88" s="14"/>
      <c r="AU88" s="14"/>
      <c r="AV88" s="14"/>
      <c r="AW88" s="14"/>
    </row>
    <row r="89" ht="26.25" customHeight="1">
      <c r="A89" s="20"/>
      <c r="B89" s="14"/>
      <c r="C89" s="14"/>
      <c r="D89" s="14"/>
      <c r="E89" s="14"/>
      <c r="F89" s="14"/>
      <c r="G89" s="16"/>
      <c r="H89" s="16"/>
      <c r="I89" s="16"/>
      <c r="J89" s="16"/>
      <c r="K89" s="14"/>
      <c r="L89" s="14"/>
      <c r="M89" s="14"/>
      <c r="N89" s="14"/>
      <c r="O89" s="14"/>
      <c r="P89" s="15"/>
      <c r="Q89" s="14"/>
      <c r="R89" s="14"/>
      <c r="S89" s="15"/>
      <c r="T89" s="15"/>
      <c r="U89" s="15"/>
      <c r="V89" s="14"/>
      <c r="W89" s="14"/>
      <c r="X89" s="14"/>
      <c r="Y89" s="14"/>
      <c r="Z89" s="14"/>
      <c r="AA89" s="14"/>
      <c r="AB89" s="14"/>
      <c r="AC89" s="15"/>
      <c r="AD89" s="15"/>
      <c r="AE89" s="15"/>
      <c r="AF89" s="15"/>
      <c r="AG89" s="14"/>
      <c r="AH89" s="14"/>
      <c r="AI89" s="15"/>
      <c r="AJ89" s="15"/>
      <c r="AK89" s="15"/>
      <c r="AL89" s="15"/>
      <c r="AM89" s="15"/>
      <c r="AN89" s="15"/>
      <c r="AO89" s="14"/>
      <c r="AP89" s="16"/>
      <c r="AQ89" s="16"/>
      <c r="AR89" s="14"/>
      <c r="AS89" s="14"/>
      <c r="AT89" s="14"/>
      <c r="AU89" s="14"/>
      <c r="AV89" s="14"/>
      <c r="AW89" s="14"/>
    </row>
    <row r="90" ht="26.25" customHeight="1">
      <c r="A90" s="20"/>
      <c r="B90" s="14"/>
      <c r="C90" s="14"/>
      <c r="D90" s="14"/>
      <c r="E90" s="14"/>
      <c r="F90" s="14"/>
      <c r="G90" s="16"/>
      <c r="H90" s="16"/>
      <c r="I90" s="16"/>
      <c r="J90" s="16"/>
      <c r="K90" s="14"/>
      <c r="L90" s="14"/>
      <c r="M90" s="14"/>
      <c r="N90" s="14"/>
      <c r="O90" s="14"/>
      <c r="P90" s="15"/>
      <c r="Q90" s="14"/>
      <c r="R90" s="14"/>
      <c r="S90" s="15"/>
      <c r="T90" s="15"/>
      <c r="U90" s="15"/>
      <c r="V90" s="14"/>
      <c r="W90" s="14"/>
      <c r="X90" s="14"/>
      <c r="Y90" s="14"/>
      <c r="Z90" s="14"/>
      <c r="AA90" s="14"/>
      <c r="AB90" s="14"/>
      <c r="AC90" s="15"/>
      <c r="AD90" s="15"/>
      <c r="AE90" s="15"/>
      <c r="AF90" s="15"/>
      <c r="AG90" s="14"/>
      <c r="AH90" s="14"/>
      <c r="AI90" s="15"/>
      <c r="AJ90" s="15"/>
      <c r="AK90" s="15"/>
      <c r="AL90" s="15"/>
      <c r="AM90" s="15"/>
      <c r="AN90" s="15"/>
      <c r="AO90" s="14"/>
      <c r="AP90" s="16"/>
      <c r="AQ90" s="16"/>
      <c r="AR90" s="14"/>
      <c r="AS90" s="14"/>
      <c r="AT90" s="14"/>
      <c r="AU90" s="14"/>
      <c r="AV90" s="14"/>
      <c r="AW90" s="14"/>
    </row>
    <row r="91" ht="26.25" customHeight="1">
      <c r="A91" s="20"/>
      <c r="B91" s="14"/>
      <c r="C91" s="14"/>
      <c r="D91" s="14"/>
      <c r="E91" s="14"/>
      <c r="F91" s="14"/>
      <c r="G91" s="16"/>
      <c r="H91" s="16"/>
      <c r="I91" s="16"/>
      <c r="J91" s="16"/>
      <c r="K91" s="14"/>
      <c r="L91" s="14"/>
      <c r="M91" s="14"/>
      <c r="N91" s="14"/>
      <c r="O91" s="14"/>
      <c r="P91" s="15"/>
      <c r="Q91" s="14"/>
      <c r="R91" s="14"/>
      <c r="S91" s="15"/>
      <c r="T91" s="15"/>
      <c r="U91" s="15"/>
      <c r="V91" s="14"/>
      <c r="W91" s="14"/>
      <c r="X91" s="14"/>
      <c r="Y91" s="14"/>
      <c r="Z91" s="14"/>
      <c r="AA91" s="14"/>
      <c r="AB91" s="14"/>
      <c r="AC91" s="15"/>
      <c r="AD91" s="15"/>
      <c r="AE91" s="15"/>
      <c r="AF91" s="15"/>
      <c r="AG91" s="14"/>
      <c r="AH91" s="14"/>
      <c r="AI91" s="15"/>
      <c r="AJ91" s="15"/>
      <c r="AK91" s="15"/>
      <c r="AL91" s="15"/>
      <c r="AM91" s="15"/>
      <c r="AN91" s="15"/>
      <c r="AO91" s="14"/>
      <c r="AP91" s="16"/>
      <c r="AQ91" s="16"/>
      <c r="AR91" s="14"/>
      <c r="AS91" s="14"/>
      <c r="AT91" s="14"/>
      <c r="AU91" s="14"/>
      <c r="AV91" s="14"/>
      <c r="AW91" s="14"/>
    </row>
    <row r="92" ht="26.25" customHeight="1">
      <c r="A92" s="20"/>
      <c r="B92" s="14"/>
      <c r="C92" s="14"/>
      <c r="D92" s="14"/>
      <c r="E92" s="14"/>
      <c r="F92" s="14"/>
      <c r="G92" s="16"/>
      <c r="H92" s="16"/>
      <c r="I92" s="16"/>
      <c r="J92" s="16"/>
      <c r="K92" s="14"/>
      <c r="L92" s="14"/>
      <c r="M92" s="14"/>
      <c r="N92" s="14"/>
      <c r="O92" s="14"/>
      <c r="P92" s="15"/>
      <c r="Q92" s="14"/>
      <c r="R92" s="14"/>
      <c r="S92" s="15"/>
      <c r="T92" s="15"/>
      <c r="U92" s="15"/>
      <c r="V92" s="14"/>
      <c r="W92" s="14"/>
      <c r="X92" s="14"/>
      <c r="Y92" s="14"/>
      <c r="Z92" s="14"/>
      <c r="AA92" s="14"/>
      <c r="AB92" s="14"/>
      <c r="AC92" s="15"/>
      <c r="AD92" s="15"/>
      <c r="AE92" s="15"/>
      <c r="AF92" s="15"/>
      <c r="AG92" s="14"/>
      <c r="AH92" s="14"/>
      <c r="AI92" s="15"/>
      <c r="AJ92" s="15"/>
      <c r="AK92" s="15"/>
      <c r="AL92" s="15"/>
      <c r="AM92" s="15"/>
      <c r="AN92" s="15"/>
      <c r="AO92" s="14"/>
      <c r="AP92" s="16"/>
      <c r="AQ92" s="16"/>
      <c r="AR92" s="14"/>
      <c r="AS92" s="14"/>
      <c r="AT92" s="14"/>
      <c r="AU92" s="14"/>
      <c r="AV92" s="14"/>
      <c r="AW92" s="14"/>
    </row>
    <row r="93" ht="26.25" customHeight="1">
      <c r="A93" s="20"/>
      <c r="B93" s="14"/>
      <c r="C93" s="14"/>
      <c r="D93" s="14"/>
      <c r="E93" s="14"/>
      <c r="F93" s="14"/>
      <c r="G93" s="16"/>
      <c r="H93" s="16"/>
      <c r="I93" s="16"/>
      <c r="J93" s="16"/>
      <c r="K93" s="14"/>
      <c r="L93" s="14"/>
      <c r="M93" s="14"/>
      <c r="N93" s="14"/>
      <c r="O93" s="14"/>
      <c r="P93" s="15"/>
      <c r="Q93" s="14"/>
      <c r="R93" s="14"/>
      <c r="S93" s="15"/>
      <c r="T93" s="15"/>
      <c r="U93" s="15"/>
      <c r="V93" s="14"/>
      <c r="W93" s="14"/>
      <c r="X93" s="14"/>
      <c r="Y93" s="14"/>
      <c r="Z93" s="14"/>
      <c r="AA93" s="14"/>
      <c r="AB93" s="14"/>
      <c r="AC93" s="15"/>
      <c r="AD93" s="15"/>
      <c r="AE93" s="15"/>
      <c r="AF93" s="15"/>
      <c r="AG93" s="14"/>
      <c r="AH93" s="14"/>
      <c r="AI93" s="15"/>
      <c r="AJ93" s="15"/>
      <c r="AK93" s="15"/>
      <c r="AL93" s="15"/>
      <c r="AM93" s="15"/>
      <c r="AN93" s="15"/>
      <c r="AO93" s="14"/>
      <c r="AP93" s="16"/>
      <c r="AQ93" s="16"/>
      <c r="AR93" s="14"/>
      <c r="AS93" s="14"/>
      <c r="AT93" s="14"/>
      <c r="AU93" s="14"/>
      <c r="AV93" s="14"/>
      <c r="AW93" s="14"/>
    </row>
    <row r="94" ht="26.25" customHeight="1">
      <c r="A94" s="20"/>
      <c r="B94" s="14"/>
      <c r="C94" s="14"/>
      <c r="D94" s="14"/>
      <c r="E94" s="14"/>
      <c r="F94" s="14"/>
      <c r="G94" s="16"/>
      <c r="H94" s="16"/>
      <c r="I94" s="16"/>
      <c r="J94" s="16"/>
      <c r="K94" s="14"/>
      <c r="L94" s="14"/>
      <c r="M94" s="14"/>
      <c r="N94" s="14"/>
      <c r="O94" s="14"/>
      <c r="P94" s="15"/>
      <c r="Q94" s="14"/>
      <c r="R94" s="14"/>
      <c r="S94" s="15"/>
      <c r="T94" s="15"/>
      <c r="U94" s="15"/>
      <c r="V94" s="14"/>
      <c r="W94" s="14"/>
      <c r="X94" s="14"/>
      <c r="Y94" s="14"/>
      <c r="Z94" s="14"/>
      <c r="AA94" s="14"/>
      <c r="AB94" s="14"/>
      <c r="AC94" s="15"/>
      <c r="AD94" s="15"/>
      <c r="AE94" s="15"/>
      <c r="AF94" s="15"/>
      <c r="AG94" s="14"/>
      <c r="AH94" s="14"/>
      <c r="AI94" s="15"/>
      <c r="AJ94" s="15"/>
      <c r="AK94" s="15"/>
      <c r="AL94" s="15"/>
      <c r="AM94" s="15"/>
      <c r="AN94" s="15"/>
      <c r="AO94" s="14"/>
      <c r="AP94" s="16"/>
      <c r="AQ94" s="16"/>
      <c r="AR94" s="14"/>
      <c r="AS94" s="14"/>
      <c r="AT94" s="14"/>
      <c r="AU94" s="14"/>
      <c r="AV94" s="14"/>
      <c r="AW94" s="14"/>
    </row>
    <row r="95" ht="26.25" customHeight="1">
      <c r="A95" s="20"/>
      <c r="B95" s="14"/>
      <c r="C95" s="14"/>
      <c r="D95" s="14"/>
      <c r="E95" s="14"/>
      <c r="F95" s="14"/>
      <c r="G95" s="16"/>
      <c r="H95" s="16"/>
      <c r="I95" s="16"/>
      <c r="J95" s="16"/>
      <c r="K95" s="14"/>
      <c r="L95" s="14"/>
      <c r="M95" s="14"/>
      <c r="N95" s="14"/>
      <c r="O95" s="14"/>
      <c r="P95" s="15"/>
      <c r="Q95" s="14"/>
      <c r="R95" s="14"/>
      <c r="S95" s="15"/>
      <c r="T95" s="15"/>
      <c r="U95" s="15"/>
      <c r="V95" s="14"/>
      <c r="W95" s="14"/>
      <c r="X95" s="14"/>
      <c r="Y95" s="14"/>
      <c r="Z95" s="14"/>
      <c r="AA95" s="14"/>
      <c r="AB95" s="14"/>
      <c r="AC95" s="15"/>
      <c r="AD95" s="15"/>
      <c r="AE95" s="15"/>
      <c r="AF95" s="15"/>
      <c r="AG95" s="14"/>
      <c r="AH95" s="14"/>
      <c r="AI95" s="15"/>
      <c r="AJ95" s="15"/>
      <c r="AK95" s="15"/>
      <c r="AL95" s="15"/>
      <c r="AM95" s="15"/>
      <c r="AN95" s="15"/>
      <c r="AO95" s="14"/>
      <c r="AP95" s="16"/>
      <c r="AQ95" s="16"/>
      <c r="AR95" s="14"/>
      <c r="AS95" s="14"/>
      <c r="AT95" s="14"/>
      <c r="AU95" s="14"/>
      <c r="AV95" s="14"/>
      <c r="AW95" s="14"/>
    </row>
    <row r="96" ht="26.25" customHeight="1">
      <c r="A96" s="20"/>
      <c r="B96" s="14"/>
      <c r="C96" s="14"/>
      <c r="D96" s="14"/>
      <c r="E96" s="14"/>
      <c r="F96" s="14"/>
      <c r="G96" s="16"/>
      <c r="H96" s="16"/>
      <c r="I96" s="16"/>
      <c r="J96" s="16"/>
      <c r="K96" s="14"/>
      <c r="L96" s="14"/>
      <c r="M96" s="14"/>
      <c r="N96" s="14"/>
      <c r="O96" s="14"/>
      <c r="P96" s="15"/>
      <c r="Q96" s="14"/>
      <c r="R96" s="14"/>
      <c r="S96" s="15"/>
      <c r="T96" s="15"/>
      <c r="U96" s="15"/>
      <c r="V96" s="14"/>
      <c r="W96" s="14"/>
      <c r="X96" s="14"/>
      <c r="Y96" s="14"/>
      <c r="Z96" s="14"/>
      <c r="AA96" s="14"/>
      <c r="AB96" s="14"/>
      <c r="AC96" s="15"/>
      <c r="AD96" s="15"/>
      <c r="AE96" s="15"/>
      <c r="AF96" s="15"/>
      <c r="AG96" s="14"/>
      <c r="AH96" s="14"/>
      <c r="AI96" s="15"/>
      <c r="AJ96" s="15"/>
      <c r="AK96" s="15"/>
      <c r="AL96" s="15"/>
      <c r="AM96" s="15"/>
      <c r="AN96" s="15"/>
      <c r="AO96" s="14"/>
      <c r="AP96" s="16"/>
      <c r="AQ96" s="16"/>
      <c r="AR96" s="14"/>
      <c r="AS96" s="14"/>
      <c r="AT96" s="14"/>
      <c r="AU96" s="14"/>
      <c r="AV96" s="14"/>
      <c r="AW96" s="14"/>
    </row>
    <row r="97" ht="26.25" customHeight="1">
      <c r="A97" s="20"/>
      <c r="B97" s="14"/>
      <c r="C97" s="14"/>
      <c r="D97" s="14"/>
      <c r="E97" s="14"/>
      <c r="F97" s="14"/>
      <c r="G97" s="16"/>
      <c r="H97" s="16"/>
      <c r="I97" s="16"/>
      <c r="J97" s="16"/>
      <c r="K97" s="14"/>
      <c r="L97" s="14"/>
      <c r="M97" s="14"/>
      <c r="N97" s="14"/>
      <c r="O97" s="14"/>
      <c r="P97" s="15"/>
      <c r="Q97" s="14"/>
      <c r="R97" s="14"/>
      <c r="S97" s="15"/>
      <c r="T97" s="15"/>
      <c r="U97" s="15"/>
      <c r="V97" s="14"/>
      <c r="W97" s="14"/>
      <c r="X97" s="14"/>
      <c r="Y97" s="14"/>
      <c r="Z97" s="14"/>
      <c r="AA97" s="14"/>
      <c r="AB97" s="14"/>
      <c r="AC97" s="15"/>
      <c r="AD97" s="15"/>
      <c r="AE97" s="15"/>
      <c r="AF97" s="15"/>
      <c r="AG97" s="14"/>
      <c r="AH97" s="14"/>
      <c r="AI97" s="15"/>
      <c r="AJ97" s="15"/>
      <c r="AK97" s="15"/>
      <c r="AL97" s="15"/>
      <c r="AM97" s="15"/>
      <c r="AN97" s="15"/>
      <c r="AO97" s="14"/>
      <c r="AP97" s="16"/>
      <c r="AQ97" s="16"/>
      <c r="AR97" s="14"/>
      <c r="AS97" s="14"/>
      <c r="AT97" s="14"/>
      <c r="AU97" s="14"/>
      <c r="AV97" s="14"/>
      <c r="AW97" s="14"/>
    </row>
    <row r="98" ht="26.25" customHeight="1">
      <c r="A98" s="20"/>
      <c r="B98" s="14"/>
      <c r="C98" s="14"/>
      <c r="D98" s="14"/>
      <c r="E98" s="14"/>
      <c r="F98" s="14"/>
      <c r="G98" s="16"/>
      <c r="H98" s="16"/>
      <c r="I98" s="16"/>
      <c r="J98" s="16"/>
      <c r="K98" s="14"/>
      <c r="L98" s="14"/>
      <c r="M98" s="14"/>
      <c r="N98" s="14"/>
      <c r="O98" s="14"/>
      <c r="P98" s="15"/>
      <c r="Q98" s="14"/>
      <c r="R98" s="14"/>
      <c r="S98" s="15"/>
      <c r="T98" s="15"/>
      <c r="U98" s="15"/>
      <c r="V98" s="14"/>
      <c r="W98" s="14"/>
      <c r="X98" s="14"/>
      <c r="Y98" s="14"/>
      <c r="Z98" s="14"/>
      <c r="AA98" s="14"/>
      <c r="AB98" s="14"/>
      <c r="AC98" s="15"/>
      <c r="AD98" s="15"/>
      <c r="AE98" s="15"/>
      <c r="AF98" s="15"/>
      <c r="AG98" s="14"/>
      <c r="AH98" s="14"/>
      <c r="AI98" s="15"/>
      <c r="AJ98" s="15"/>
      <c r="AK98" s="15"/>
      <c r="AL98" s="15"/>
      <c r="AM98" s="15"/>
      <c r="AN98" s="15"/>
      <c r="AO98" s="14"/>
      <c r="AP98" s="16"/>
      <c r="AQ98" s="16"/>
      <c r="AR98" s="14"/>
      <c r="AS98" s="14"/>
      <c r="AT98" s="14"/>
      <c r="AU98" s="14"/>
      <c r="AV98" s="14"/>
      <c r="AW98" s="14"/>
    </row>
    <row r="99" ht="26.25" customHeight="1">
      <c r="A99" s="20"/>
      <c r="B99" s="14"/>
      <c r="C99" s="14"/>
      <c r="D99" s="14"/>
      <c r="E99" s="14"/>
      <c r="F99" s="14"/>
      <c r="G99" s="16"/>
      <c r="H99" s="16"/>
      <c r="I99" s="16"/>
      <c r="J99" s="16"/>
      <c r="K99" s="14"/>
      <c r="L99" s="14"/>
      <c r="M99" s="14"/>
      <c r="N99" s="14"/>
      <c r="O99" s="14"/>
      <c r="P99" s="15"/>
      <c r="Q99" s="14"/>
      <c r="R99" s="14"/>
      <c r="S99" s="15"/>
      <c r="T99" s="15"/>
      <c r="U99" s="15"/>
      <c r="V99" s="14"/>
      <c r="W99" s="14"/>
      <c r="X99" s="14"/>
      <c r="Y99" s="14"/>
      <c r="Z99" s="14"/>
      <c r="AA99" s="14"/>
      <c r="AB99" s="14"/>
      <c r="AC99" s="15"/>
      <c r="AD99" s="15"/>
      <c r="AE99" s="15"/>
      <c r="AF99" s="15"/>
      <c r="AG99" s="14"/>
      <c r="AH99" s="14"/>
      <c r="AI99" s="15"/>
      <c r="AJ99" s="15"/>
      <c r="AK99" s="15"/>
      <c r="AL99" s="15"/>
      <c r="AM99" s="15"/>
      <c r="AN99" s="15"/>
      <c r="AO99" s="14"/>
      <c r="AP99" s="16"/>
      <c r="AQ99" s="16"/>
      <c r="AR99" s="14"/>
      <c r="AS99" s="14"/>
      <c r="AT99" s="14"/>
      <c r="AU99" s="14"/>
      <c r="AV99" s="14"/>
      <c r="AW99" s="14"/>
    </row>
    <row r="100" ht="26.25" customHeight="1">
      <c r="A100" s="20"/>
      <c r="B100" s="14"/>
      <c r="C100" s="14"/>
      <c r="D100" s="14"/>
      <c r="E100" s="14"/>
      <c r="F100" s="14"/>
      <c r="G100" s="16"/>
      <c r="H100" s="16"/>
      <c r="I100" s="16"/>
      <c r="J100" s="16"/>
      <c r="K100" s="14"/>
      <c r="L100" s="14"/>
      <c r="M100" s="14"/>
      <c r="N100" s="14"/>
      <c r="O100" s="14"/>
      <c r="P100" s="15"/>
      <c r="Q100" s="14"/>
      <c r="R100" s="14"/>
      <c r="S100" s="15"/>
      <c r="T100" s="15"/>
      <c r="U100" s="15"/>
      <c r="V100" s="14"/>
      <c r="W100" s="14"/>
      <c r="X100" s="14"/>
      <c r="Y100" s="14"/>
      <c r="Z100" s="14"/>
      <c r="AA100" s="14"/>
      <c r="AB100" s="14"/>
      <c r="AC100" s="15"/>
      <c r="AD100" s="15"/>
      <c r="AE100" s="15"/>
      <c r="AF100" s="15"/>
      <c r="AG100" s="14"/>
      <c r="AH100" s="14"/>
      <c r="AI100" s="15"/>
      <c r="AJ100" s="15"/>
      <c r="AK100" s="15"/>
      <c r="AL100" s="15"/>
      <c r="AM100" s="15"/>
      <c r="AN100" s="15"/>
      <c r="AO100" s="14"/>
      <c r="AP100" s="16"/>
      <c r="AQ100" s="16"/>
      <c r="AR100" s="14"/>
      <c r="AS100" s="14"/>
      <c r="AT100" s="14"/>
      <c r="AU100" s="14"/>
      <c r="AV100" s="14"/>
      <c r="AW100" s="14"/>
    </row>
  </sheetData>
  <dataValidations>
    <dataValidation type="list" allowBlank="1" sqref="Q2:R5 V2:W5">
      <formula1>"Yes,No"</formula1>
    </dataValidation>
    <dataValidation type="list" allowBlank="1" sqref="K2:K5">
      <formula1>Lookups!$A$20:$A$24</formula1>
    </dataValidation>
    <dataValidation type="list" allowBlank="1" sqref="Y2:Y5">
      <formula1>Lookups!$A$2:$A$12</formula1>
    </dataValidation>
    <dataValidation type="list" allowBlank="1" sqref="O2:O5">
      <formula1>Lookups!$A$36:$A$39</formula1>
    </dataValidation>
    <dataValidation type="list" allowBlank="1" sqref="M2:M5">
      <formula1>Lookups!$A$27:$A$33</formula1>
    </dataValidation>
    <dataValidation type="list" allowBlank="1" sqref="Z2:Z5">
      <formula1>"New,Scored,Interview Scheduled,Manual Review,Rejection Pending HR Approval,Rejected,Hired,On Hold,Missing Data"</formula1>
    </dataValidation>
  </dataValidations>
  <hyperlinks>
    <hyperlink ns1:id="rId1" ref="G2"/>
    <hyperlink ns1:id="rId2" ref="H2"/>
    <hyperlink ns1:id="rId3" ref="I2"/>
    <hyperlink ns1:id="rId4" ref="J2"/>
    <hyperlink ns1:id="rId5" ref="G3"/>
    <hyperlink ns1:id="rId6" ref="H3"/>
    <hyperlink ns1:id="rId7" ref="I3"/>
    <hyperlink ns1:id="rId8" ref="J3"/>
    <hyperlink ns1:id="rId9" ref="G4"/>
    <hyperlink ns1:id="rId10" ref="H4"/>
    <hyperlink ns1:id="rId11" ref="I4"/>
    <hyperlink ns1:id="rId12" ref="J4"/>
    <hyperlink ns1:id="rId13" ref="G5"/>
    <hyperlink ns1:id="rId14" ref="H5"/>
    <hyperlink ns1:id="rId15" ref="I5"/>
    <hyperlink ns1:id="rId16" ref="J5"/>
    <hyperlink ns1:id="rId17" ref="G6"/>
    <hyperlink ns1:id="rId18" ref="H6"/>
    <hyperlink ns1:id="rId19" ref="I6"/>
    <hyperlink ns1:id="rId20" ref="J6"/>
  </hyperlinks>
  <drawing ns1:id="rId21"/>
  <tableParts count="1">
    <tablePart ns1:id="rId2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3" width="22.63"/>
    <col customWidth="1" min="4" max="4" width="52.63"/>
    <col customWidth="1" min="5" max="5" width="45.13"/>
    <col customWidth="1" min="6" max="6" width="62.63"/>
    <col customWidth="1" min="7" max="7" width="22.63"/>
    <col customWidth="1" min="8" max="8" width="24.0"/>
    <col customWidth="1" min="9" max="28" width="8.63"/>
  </cols>
  <sheetData>
    <row r="1">
      <c r="A1" s="21" t="s">
        <v>155</v>
      </c>
      <c r="B1" s="21" t="s">
        <v>10</v>
      </c>
      <c r="C1" s="21" t="s">
        <v>156</v>
      </c>
      <c r="D1" s="21" t="s">
        <v>157</v>
      </c>
      <c r="E1" s="21" t="s">
        <v>158</v>
      </c>
      <c r="F1" s="21" t="s">
        <v>159</v>
      </c>
      <c r="G1" s="21" t="s">
        <v>160</v>
      </c>
      <c r="H1" s="22"/>
      <c r="I1" s="22"/>
      <c r="J1" s="22"/>
      <c r="K1" s="22"/>
      <c r="L1" s="22"/>
      <c r="M1" s="22"/>
      <c r="N1" s="22"/>
      <c r="O1" s="22"/>
      <c r="P1" s="22"/>
      <c r="Q1" s="22"/>
      <c r="R1" s="22"/>
      <c r="S1" s="22"/>
      <c r="T1" s="22"/>
      <c r="U1" s="22"/>
      <c r="V1" s="22"/>
      <c r="W1" s="22"/>
      <c r="X1" s="22"/>
      <c r="Y1" s="22"/>
      <c r="Z1" s="22"/>
      <c r="AA1" s="22"/>
      <c r="AB1" s="22"/>
    </row>
    <row r="2">
      <c r="A2" s="23" t="s">
        <v>161</v>
      </c>
      <c r="B2" s="23" t="s">
        <v>114</v>
      </c>
      <c r="C2" s="23" t="s">
        <v>162</v>
      </c>
      <c r="D2" s="23" t="s">
        <v>163</v>
      </c>
      <c r="E2" s="23" t="s">
        <v>164</v>
      </c>
      <c r="F2" s="23" t="s">
        <v>165</v>
      </c>
      <c r="G2" s="23" t="s">
        <v>65</v>
      </c>
      <c r="H2" s="22"/>
      <c r="I2" s="22"/>
      <c r="J2" s="22"/>
      <c r="K2" s="22"/>
      <c r="L2" s="22"/>
      <c r="M2" s="22"/>
      <c r="N2" s="22"/>
      <c r="O2" s="22"/>
      <c r="P2" s="22"/>
      <c r="Q2" s="22"/>
      <c r="R2" s="22"/>
      <c r="S2" s="22"/>
      <c r="T2" s="22"/>
      <c r="U2" s="22"/>
      <c r="V2" s="22"/>
      <c r="W2" s="22"/>
      <c r="X2" s="22"/>
      <c r="Y2" s="22"/>
      <c r="Z2" s="22"/>
      <c r="AA2" s="22"/>
      <c r="AB2" s="22"/>
    </row>
    <row r="3">
      <c r="A3" s="23" t="s">
        <v>166</v>
      </c>
      <c r="B3" s="23" t="s">
        <v>167</v>
      </c>
      <c r="C3" s="23" t="s">
        <v>168</v>
      </c>
      <c r="D3" s="23" t="s">
        <v>169</v>
      </c>
      <c r="E3" s="23" t="s">
        <v>170</v>
      </c>
      <c r="F3" s="23" t="s">
        <v>171</v>
      </c>
      <c r="G3" s="23" t="s">
        <v>65</v>
      </c>
      <c r="H3" s="22"/>
      <c r="I3" s="22"/>
      <c r="J3" s="22"/>
      <c r="K3" s="22"/>
      <c r="L3" s="22"/>
      <c r="M3" s="22"/>
      <c r="N3" s="22"/>
      <c r="O3" s="22"/>
      <c r="P3" s="22"/>
      <c r="Q3" s="22"/>
      <c r="R3" s="22"/>
      <c r="S3" s="22"/>
      <c r="T3" s="22"/>
      <c r="U3" s="22"/>
      <c r="V3" s="22"/>
      <c r="W3" s="22"/>
      <c r="X3" s="22"/>
      <c r="Y3" s="22"/>
      <c r="Z3" s="22"/>
      <c r="AA3" s="22"/>
      <c r="AB3" s="22"/>
    </row>
    <row r="4">
      <c r="A4" s="23" t="s">
        <v>172</v>
      </c>
      <c r="B4" s="23" t="s">
        <v>56</v>
      </c>
      <c r="C4" s="23" t="s">
        <v>173</v>
      </c>
      <c r="D4" s="23" t="s">
        <v>174</v>
      </c>
      <c r="E4" s="23" t="s">
        <v>175</v>
      </c>
      <c r="F4" s="23" t="s">
        <v>176</v>
      </c>
      <c r="G4" s="23" t="s">
        <v>65</v>
      </c>
      <c r="H4" s="22"/>
      <c r="I4" s="22"/>
      <c r="J4" s="22"/>
      <c r="K4" s="22"/>
      <c r="L4" s="22"/>
      <c r="M4" s="22"/>
      <c r="N4" s="22"/>
      <c r="O4" s="22"/>
      <c r="P4" s="22"/>
      <c r="Q4" s="22"/>
      <c r="R4" s="22"/>
      <c r="S4" s="22"/>
      <c r="T4" s="22"/>
      <c r="U4" s="22"/>
      <c r="V4" s="22"/>
      <c r="W4" s="22"/>
      <c r="X4" s="22"/>
      <c r="Y4" s="22"/>
      <c r="Z4" s="22"/>
      <c r="AA4" s="22"/>
      <c r="AB4" s="22"/>
    </row>
    <row r="5">
      <c r="A5" s="23" t="s">
        <v>177</v>
      </c>
      <c r="B5" s="23" t="s">
        <v>88</v>
      </c>
      <c r="C5" s="23" t="s">
        <v>178</v>
      </c>
      <c r="D5" s="23" t="s">
        <v>179</v>
      </c>
      <c r="E5" s="23" t="s">
        <v>180</v>
      </c>
      <c r="F5" s="23" t="s">
        <v>181</v>
      </c>
      <c r="G5" s="23" t="s">
        <v>65</v>
      </c>
      <c r="H5" s="22"/>
      <c r="I5" s="22"/>
      <c r="J5" s="22"/>
      <c r="K5" s="22"/>
      <c r="L5" s="22"/>
      <c r="M5" s="22"/>
      <c r="N5" s="22"/>
      <c r="O5" s="22"/>
      <c r="P5" s="22"/>
      <c r="Q5" s="22"/>
      <c r="R5" s="22"/>
      <c r="S5" s="22"/>
      <c r="T5" s="22"/>
      <c r="U5" s="22"/>
      <c r="V5" s="22"/>
      <c r="W5" s="22"/>
      <c r="X5" s="22"/>
      <c r="Y5" s="22"/>
      <c r="Z5" s="22"/>
      <c r="AA5" s="22"/>
      <c r="AB5" s="22"/>
    </row>
    <row r="6">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row>
    <row r="7">
      <c r="A7" s="22"/>
      <c r="B7" s="22"/>
      <c r="C7" s="22"/>
      <c r="D7" s="22"/>
      <c r="E7" s="22"/>
      <c r="F7" s="22"/>
      <c r="G7" s="22"/>
      <c r="H7" s="22"/>
      <c r="I7" s="22"/>
      <c r="J7" s="22"/>
      <c r="K7" s="22"/>
      <c r="L7" s="22"/>
      <c r="M7" s="22"/>
      <c r="N7" s="22"/>
      <c r="O7" s="22"/>
      <c r="P7" s="22"/>
      <c r="Q7" s="22"/>
      <c r="R7" s="22"/>
      <c r="S7" s="22"/>
      <c r="T7" s="22"/>
      <c r="U7" s="22"/>
      <c r="V7" s="22"/>
      <c r="W7" s="22"/>
      <c r="X7" s="22"/>
      <c r="Y7" s="22"/>
      <c r="Z7" s="22"/>
      <c r="AA7" s="22"/>
      <c r="AB7" s="22"/>
    </row>
    <row r="8">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row>
    <row r="9">
      <c r="A9" s="22"/>
      <c r="B9" s="22"/>
      <c r="C9" s="22"/>
      <c r="D9" s="22"/>
      <c r="E9" s="22"/>
      <c r="F9" s="22"/>
      <c r="G9" s="22"/>
      <c r="H9" s="22"/>
      <c r="I9" s="22"/>
      <c r="J9" s="22"/>
      <c r="K9" s="22"/>
      <c r="L9" s="22"/>
      <c r="M9" s="22"/>
      <c r="N9" s="22"/>
      <c r="O9" s="22"/>
      <c r="P9" s="22"/>
      <c r="Q9" s="22"/>
      <c r="R9" s="22"/>
      <c r="S9" s="22"/>
      <c r="T9" s="22"/>
      <c r="U9" s="22"/>
      <c r="V9" s="22"/>
      <c r="W9" s="22"/>
      <c r="X9" s="22"/>
      <c r="Y9" s="22"/>
      <c r="Z9" s="22"/>
      <c r="AA9" s="22"/>
      <c r="AB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27.63"/>
    <col customWidth="1" min="3" max="5" width="52.63"/>
    <col customWidth="1" min="6" max="26" width="8.63"/>
  </cols>
  <sheetData>
    <row r="1">
      <c r="A1" s="21" t="s">
        <v>182</v>
      </c>
      <c r="B1" s="21" t="s">
        <v>183</v>
      </c>
      <c r="C1" s="21" t="s">
        <v>184</v>
      </c>
      <c r="D1" s="21" t="s">
        <v>185</v>
      </c>
      <c r="E1" s="21" t="s">
        <v>186</v>
      </c>
      <c r="F1" s="22"/>
      <c r="G1" s="22"/>
      <c r="H1" s="22"/>
      <c r="I1" s="22"/>
      <c r="J1" s="22"/>
      <c r="K1" s="22"/>
      <c r="L1" s="22"/>
      <c r="M1" s="22"/>
      <c r="N1" s="22"/>
      <c r="O1" s="22"/>
      <c r="P1" s="22"/>
      <c r="Q1" s="22"/>
      <c r="R1" s="22"/>
      <c r="S1" s="22"/>
      <c r="T1" s="22"/>
      <c r="U1" s="22"/>
      <c r="V1" s="22"/>
      <c r="W1" s="22"/>
      <c r="X1" s="22"/>
      <c r="Y1" s="22"/>
      <c r="Z1" s="22"/>
    </row>
    <row r="2">
      <c r="A2" s="23" t="s">
        <v>187</v>
      </c>
      <c r="B2" s="24">
        <v>25.0</v>
      </c>
      <c r="C2" s="23" t="s">
        <v>188</v>
      </c>
      <c r="D2" s="23" t="s">
        <v>189</v>
      </c>
      <c r="E2" s="23" t="s">
        <v>190</v>
      </c>
      <c r="F2" s="22"/>
      <c r="G2" s="22"/>
      <c r="H2" s="22"/>
      <c r="I2" s="22"/>
      <c r="J2" s="22"/>
      <c r="K2" s="22"/>
      <c r="L2" s="22"/>
      <c r="M2" s="22"/>
      <c r="N2" s="22"/>
      <c r="O2" s="22"/>
      <c r="P2" s="22"/>
      <c r="Q2" s="22"/>
      <c r="R2" s="22"/>
      <c r="S2" s="22"/>
      <c r="T2" s="22"/>
      <c r="U2" s="22"/>
      <c r="V2" s="22"/>
      <c r="W2" s="22"/>
      <c r="X2" s="22"/>
      <c r="Y2" s="22"/>
      <c r="Z2" s="22"/>
    </row>
    <row r="3">
      <c r="A3" s="23" t="s">
        <v>191</v>
      </c>
      <c r="B3" s="24">
        <v>20.0</v>
      </c>
      <c r="C3" s="23" t="s">
        <v>192</v>
      </c>
      <c r="D3" s="23" t="s">
        <v>193</v>
      </c>
      <c r="E3" s="23" t="s">
        <v>194</v>
      </c>
      <c r="F3" s="22"/>
      <c r="G3" s="22"/>
      <c r="H3" s="22"/>
      <c r="I3" s="22"/>
      <c r="J3" s="22"/>
      <c r="K3" s="22"/>
      <c r="L3" s="22"/>
      <c r="M3" s="22"/>
      <c r="N3" s="22"/>
      <c r="O3" s="22"/>
      <c r="P3" s="22"/>
      <c r="Q3" s="22"/>
      <c r="R3" s="22"/>
      <c r="S3" s="22"/>
      <c r="T3" s="22"/>
      <c r="U3" s="22"/>
      <c r="V3" s="22"/>
      <c r="W3" s="22"/>
      <c r="X3" s="22"/>
      <c r="Y3" s="22"/>
      <c r="Z3" s="22"/>
    </row>
    <row r="4">
      <c r="A4" s="23" t="s">
        <v>195</v>
      </c>
      <c r="B4" s="24">
        <v>15.0</v>
      </c>
      <c r="C4" s="23" t="s">
        <v>196</v>
      </c>
      <c r="D4" s="23" t="s">
        <v>197</v>
      </c>
      <c r="E4" s="23" t="s">
        <v>198</v>
      </c>
      <c r="F4" s="22"/>
      <c r="G4" s="22"/>
      <c r="H4" s="22"/>
      <c r="I4" s="22"/>
      <c r="J4" s="22"/>
      <c r="K4" s="22"/>
      <c r="L4" s="22"/>
      <c r="M4" s="22"/>
      <c r="N4" s="22"/>
      <c r="O4" s="22"/>
      <c r="P4" s="22"/>
      <c r="Q4" s="22"/>
      <c r="R4" s="22"/>
      <c r="S4" s="22"/>
      <c r="T4" s="22"/>
      <c r="U4" s="22"/>
      <c r="V4" s="22"/>
      <c r="W4" s="22"/>
      <c r="X4" s="22"/>
      <c r="Y4" s="22"/>
      <c r="Z4" s="22"/>
    </row>
    <row r="5">
      <c r="A5" s="23" t="s">
        <v>199</v>
      </c>
      <c r="B5" s="24">
        <v>15.0</v>
      </c>
      <c r="C5" s="23" t="s">
        <v>200</v>
      </c>
      <c r="D5" s="23" t="s">
        <v>201</v>
      </c>
      <c r="E5" s="23" t="s">
        <v>202</v>
      </c>
      <c r="F5" s="22"/>
      <c r="G5" s="22"/>
      <c r="H5" s="22"/>
      <c r="I5" s="22"/>
      <c r="J5" s="22"/>
      <c r="K5" s="22"/>
      <c r="L5" s="22"/>
      <c r="M5" s="22"/>
      <c r="N5" s="22"/>
      <c r="O5" s="22"/>
      <c r="P5" s="22"/>
      <c r="Q5" s="22"/>
      <c r="R5" s="22"/>
      <c r="S5" s="22"/>
      <c r="T5" s="22"/>
      <c r="U5" s="22"/>
      <c r="V5" s="22"/>
      <c r="W5" s="22"/>
      <c r="X5" s="22"/>
      <c r="Y5" s="22"/>
      <c r="Z5" s="22"/>
    </row>
    <row r="6">
      <c r="A6" s="23" t="s">
        <v>203</v>
      </c>
      <c r="B6" s="24">
        <v>15.0</v>
      </c>
      <c r="C6" s="23" t="s">
        <v>204</v>
      </c>
      <c r="D6" s="23" t="s">
        <v>205</v>
      </c>
      <c r="E6" s="23" t="s">
        <v>206</v>
      </c>
      <c r="F6" s="22"/>
      <c r="G6" s="22"/>
      <c r="H6" s="22"/>
      <c r="I6" s="22"/>
      <c r="J6" s="22"/>
      <c r="K6" s="22"/>
      <c r="L6" s="22"/>
      <c r="M6" s="22"/>
      <c r="N6" s="22"/>
      <c r="O6" s="22"/>
      <c r="P6" s="22"/>
      <c r="Q6" s="22"/>
      <c r="R6" s="22"/>
      <c r="S6" s="22"/>
      <c r="T6" s="22"/>
      <c r="U6" s="22"/>
      <c r="V6" s="22"/>
      <c r="W6" s="22"/>
      <c r="X6" s="22"/>
      <c r="Y6" s="22"/>
      <c r="Z6" s="22"/>
    </row>
    <row r="7">
      <c r="A7" s="23" t="s">
        <v>207</v>
      </c>
      <c r="B7" s="24">
        <v>10.0</v>
      </c>
      <c r="C7" s="23" t="s">
        <v>208</v>
      </c>
      <c r="D7" s="23" t="s">
        <v>209</v>
      </c>
      <c r="E7" s="23" t="s">
        <v>210</v>
      </c>
      <c r="F7" s="22"/>
      <c r="G7" s="22"/>
      <c r="H7" s="22"/>
      <c r="I7" s="22"/>
      <c r="J7" s="22"/>
      <c r="K7" s="22"/>
      <c r="L7" s="22"/>
      <c r="M7" s="22"/>
      <c r="N7" s="22"/>
      <c r="O7" s="22"/>
      <c r="P7" s="22"/>
      <c r="Q7" s="22"/>
      <c r="R7" s="22"/>
      <c r="S7" s="22"/>
      <c r="T7" s="22"/>
      <c r="U7" s="22"/>
      <c r="V7" s="22"/>
      <c r="W7" s="22"/>
      <c r="X7" s="22"/>
      <c r="Y7" s="22"/>
      <c r="Z7" s="22"/>
    </row>
    <row r="8">
      <c r="A8" s="22"/>
      <c r="B8" s="25"/>
      <c r="C8" s="22"/>
      <c r="D8" s="22"/>
      <c r="E8" s="22"/>
      <c r="F8" s="22"/>
      <c r="G8" s="22"/>
      <c r="H8" s="22"/>
      <c r="I8" s="22"/>
      <c r="J8" s="22"/>
      <c r="K8" s="22"/>
      <c r="L8" s="22"/>
      <c r="M8" s="22"/>
      <c r="N8" s="22"/>
      <c r="O8" s="22"/>
      <c r="P8" s="22"/>
      <c r="Q8" s="22"/>
      <c r="R8" s="22"/>
      <c r="S8" s="22"/>
      <c r="T8" s="22"/>
      <c r="U8" s="22"/>
      <c r="V8" s="22"/>
      <c r="W8" s="22"/>
      <c r="X8" s="22"/>
      <c r="Y8" s="22"/>
      <c r="Z8" s="22"/>
    </row>
    <row r="9">
      <c r="A9" s="22"/>
      <c r="B9" s="22"/>
      <c r="C9" s="22"/>
      <c r="D9" s="22"/>
      <c r="E9" s="22"/>
      <c r="F9" s="22"/>
      <c r="G9" s="22"/>
      <c r="H9" s="22"/>
      <c r="I9" s="22"/>
      <c r="J9" s="22"/>
      <c r="K9" s="22"/>
      <c r="L9" s="22"/>
      <c r="M9" s="22"/>
      <c r="N9" s="22"/>
      <c r="O9" s="22"/>
      <c r="P9" s="22"/>
      <c r="Q9" s="22"/>
      <c r="R9" s="22"/>
      <c r="S9" s="22"/>
      <c r="T9" s="22"/>
      <c r="U9" s="22"/>
      <c r="V9" s="22"/>
      <c r="W9" s="22"/>
      <c r="X9" s="22"/>
      <c r="Y9" s="22"/>
      <c r="Z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4" width="27.63"/>
    <col customWidth="1" min="5" max="6" width="52.63"/>
    <col customWidth="1" min="7" max="26" width="8.63"/>
  </cols>
  <sheetData>
    <row r="1">
      <c r="A1" s="21" t="s">
        <v>211</v>
      </c>
      <c r="B1" s="21" t="s">
        <v>212</v>
      </c>
      <c r="C1" s="21" t="s">
        <v>31</v>
      </c>
      <c r="D1" s="21" t="s">
        <v>213</v>
      </c>
      <c r="E1" s="21" t="s">
        <v>214</v>
      </c>
      <c r="F1" s="21" t="s">
        <v>215</v>
      </c>
      <c r="G1" s="22"/>
      <c r="H1" s="22"/>
      <c r="I1" s="22"/>
      <c r="J1" s="22"/>
      <c r="K1" s="22"/>
      <c r="L1" s="22"/>
      <c r="M1" s="22"/>
      <c r="N1" s="22"/>
      <c r="O1" s="22"/>
      <c r="P1" s="22"/>
      <c r="Q1" s="22"/>
      <c r="R1" s="22"/>
      <c r="S1" s="22"/>
      <c r="T1" s="22"/>
      <c r="U1" s="22"/>
      <c r="V1" s="22"/>
      <c r="W1" s="22"/>
      <c r="X1" s="22"/>
      <c r="Y1" s="22"/>
      <c r="Z1" s="22"/>
    </row>
    <row r="2">
      <c r="A2" s="23" t="s">
        <v>144</v>
      </c>
      <c r="B2" s="23" t="s">
        <v>216</v>
      </c>
      <c r="C2" s="23" t="s">
        <v>148</v>
      </c>
      <c r="D2" s="23" t="s">
        <v>217</v>
      </c>
      <c r="E2" s="23" t="s">
        <v>218</v>
      </c>
      <c r="F2" s="23" t="s">
        <v>219</v>
      </c>
      <c r="G2" s="22"/>
      <c r="H2" s="22"/>
      <c r="I2" s="22"/>
      <c r="J2" s="22"/>
      <c r="K2" s="22"/>
      <c r="L2" s="22"/>
      <c r="M2" s="22"/>
      <c r="N2" s="22"/>
      <c r="O2" s="22"/>
      <c r="P2" s="22"/>
      <c r="Q2" s="22"/>
      <c r="R2" s="22"/>
      <c r="S2" s="22"/>
      <c r="T2" s="22"/>
      <c r="U2" s="22"/>
      <c r="V2" s="22"/>
      <c r="W2" s="22"/>
      <c r="X2" s="22"/>
      <c r="Y2" s="22"/>
      <c r="Z2" s="22"/>
    </row>
    <row r="3">
      <c r="A3" s="23" t="s">
        <v>68</v>
      </c>
      <c r="B3" s="23" t="s">
        <v>220</v>
      </c>
      <c r="C3" s="23" t="s">
        <v>72</v>
      </c>
      <c r="D3" s="23" t="s">
        <v>72</v>
      </c>
      <c r="E3" s="23" t="s">
        <v>221</v>
      </c>
      <c r="F3" s="23" t="s">
        <v>222</v>
      </c>
      <c r="G3" s="22"/>
      <c r="H3" s="22"/>
      <c r="I3" s="22"/>
      <c r="J3" s="22"/>
      <c r="K3" s="22"/>
      <c r="L3" s="22"/>
      <c r="M3" s="22"/>
      <c r="N3" s="22"/>
      <c r="O3" s="22"/>
      <c r="P3" s="22"/>
      <c r="Q3" s="22"/>
      <c r="R3" s="22"/>
      <c r="S3" s="22"/>
      <c r="T3" s="22"/>
      <c r="U3" s="22"/>
      <c r="V3" s="22"/>
      <c r="W3" s="22"/>
      <c r="X3" s="22"/>
      <c r="Y3" s="22"/>
      <c r="Z3" s="22"/>
    </row>
    <row r="4">
      <c r="A4" s="23" t="s">
        <v>97</v>
      </c>
      <c r="B4" s="23" t="s">
        <v>223</v>
      </c>
      <c r="C4" s="23" t="s">
        <v>224</v>
      </c>
      <c r="D4" s="23" t="s">
        <v>225</v>
      </c>
      <c r="E4" s="23" t="s">
        <v>226</v>
      </c>
      <c r="F4" s="23" t="s">
        <v>227</v>
      </c>
      <c r="G4" s="22"/>
      <c r="H4" s="22"/>
      <c r="I4" s="22"/>
      <c r="J4" s="22"/>
      <c r="K4" s="22"/>
      <c r="L4" s="22"/>
      <c r="M4" s="22"/>
      <c r="N4" s="22"/>
      <c r="O4" s="22"/>
      <c r="P4" s="22"/>
      <c r="Q4" s="22"/>
      <c r="R4" s="22"/>
      <c r="S4" s="22"/>
      <c r="T4" s="22"/>
      <c r="U4" s="22"/>
      <c r="V4" s="22"/>
      <c r="W4" s="22"/>
      <c r="X4" s="22"/>
      <c r="Y4" s="22"/>
      <c r="Z4" s="22"/>
    </row>
    <row r="5">
      <c r="A5" s="22"/>
      <c r="B5" s="22"/>
      <c r="C5" s="22"/>
      <c r="D5" s="22"/>
      <c r="E5" s="22"/>
      <c r="F5" s="22"/>
      <c r="G5" s="22"/>
      <c r="H5" s="22"/>
      <c r="I5" s="22"/>
      <c r="J5" s="22"/>
      <c r="K5" s="22"/>
      <c r="L5" s="22"/>
      <c r="M5" s="22"/>
      <c r="N5" s="22"/>
      <c r="O5" s="22"/>
      <c r="P5" s="22"/>
      <c r="Q5" s="22"/>
      <c r="R5" s="22"/>
      <c r="S5" s="22"/>
      <c r="T5" s="22"/>
      <c r="U5" s="22"/>
      <c r="V5" s="22"/>
      <c r="W5" s="22"/>
      <c r="X5" s="22"/>
      <c r="Y5" s="22"/>
      <c r="Z5" s="22"/>
    </row>
    <row r="6">
      <c r="A6" s="22"/>
      <c r="B6" s="22"/>
      <c r="C6" s="22"/>
      <c r="D6" s="22"/>
      <c r="E6" s="22"/>
      <c r="F6" s="22"/>
      <c r="G6" s="22"/>
      <c r="H6" s="22"/>
      <c r="I6" s="22"/>
      <c r="J6" s="22"/>
      <c r="K6" s="22"/>
      <c r="L6" s="22"/>
      <c r="M6" s="22"/>
      <c r="N6" s="22"/>
      <c r="O6" s="22"/>
      <c r="P6" s="22"/>
      <c r="Q6" s="22"/>
      <c r="R6" s="22"/>
      <c r="S6" s="22"/>
      <c r="T6" s="22"/>
      <c r="U6" s="22"/>
      <c r="V6" s="22"/>
      <c r="W6" s="22"/>
      <c r="X6" s="22"/>
      <c r="Y6" s="22"/>
      <c r="Z6" s="22"/>
    </row>
    <row r="7">
      <c r="A7" s="22"/>
      <c r="B7" s="22"/>
      <c r="C7" s="22"/>
      <c r="D7" s="22"/>
      <c r="E7" s="22"/>
      <c r="F7" s="22"/>
      <c r="G7" s="22"/>
      <c r="H7" s="22"/>
      <c r="I7" s="22"/>
      <c r="J7" s="22"/>
      <c r="K7" s="22"/>
      <c r="L7" s="22"/>
      <c r="M7" s="22"/>
      <c r="N7" s="22"/>
      <c r="O7" s="22"/>
      <c r="P7" s="22"/>
      <c r="Q7" s="22"/>
      <c r="R7" s="22"/>
      <c r="S7" s="22"/>
      <c r="T7" s="22"/>
      <c r="U7" s="22"/>
      <c r="V7" s="22"/>
      <c r="W7" s="22"/>
      <c r="X7" s="22"/>
      <c r="Y7" s="22"/>
      <c r="Z7" s="22"/>
    </row>
    <row r="8">
      <c r="A8" s="22"/>
      <c r="B8" s="22"/>
      <c r="C8" s="22"/>
      <c r="D8" s="22"/>
      <c r="E8" s="22"/>
      <c r="F8" s="22"/>
      <c r="G8" s="22"/>
      <c r="H8" s="22"/>
      <c r="I8" s="22"/>
      <c r="J8" s="22"/>
      <c r="K8" s="22"/>
      <c r="L8" s="22"/>
      <c r="M8" s="22"/>
      <c r="N8" s="22"/>
      <c r="O8" s="22"/>
      <c r="P8" s="22"/>
      <c r="Q8" s="22"/>
      <c r="R8" s="22"/>
      <c r="S8" s="22"/>
      <c r="T8" s="22"/>
      <c r="U8" s="22"/>
      <c r="V8" s="22"/>
      <c r="W8" s="22"/>
      <c r="X8" s="22"/>
      <c r="Y8" s="22"/>
      <c r="Z8" s="22"/>
    </row>
    <row r="9">
      <c r="A9" s="22"/>
      <c r="B9" s="22"/>
      <c r="C9" s="22"/>
      <c r="D9" s="22"/>
      <c r="E9" s="22"/>
      <c r="F9" s="22"/>
      <c r="G9" s="22"/>
      <c r="H9" s="22"/>
      <c r="I9" s="22"/>
      <c r="J9" s="22"/>
      <c r="K9" s="22"/>
      <c r="L9" s="22"/>
      <c r="M9" s="22"/>
      <c r="N9" s="22"/>
      <c r="O9" s="22"/>
      <c r="P9" s="22"/>
      <c r="Q9" s="22"/>
      <c r="R9" s="22"/>
      <c r="S9" s="22"/>
      <c r="T9" s="22"/>
      <c r="U9" s="22"/>
      <c r="V9" s="22"/>
      <c r="W9" s="22"/>
      <c r="X9" s="22"/>
      <c r="Y9" s="22"/>
      <c r="Z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7" width="22.63"/>
    <col customWidth="1" min="8" max="8" width="18.0"/>
    <col customWidth="1" min="9" max="28" width="8.63"/>
  </cols>
  <sheetData>
    <row r="1">
      <c r="A1" s="21" t="s">
        <v>228</v>
      </c>
      <c r="B1" s="21" t="s">
        <v>229</v>
      </c>
      <c r="C1" s="21" t="s">
        <v>230</v>
      </c>
      <c r="D1" s="21" t="s">
        <v>231</v>
      </c>
      <c r="E1" s="21" t="s">
        <v>232</v>
      </c>
      <c r="F1" s="21" t="s">
        <v>233</v>
      </c>
      <c r="G1" s="21" t="s">
        <v>34</v>
      </c>
      <c r="H1" s="22"/>
      <c r="I1" s="22"/>
      <c r="J1" s="22"/>
      <c r="K1" s="22"/>
      <c r="L1" s="22"/>
      <c r="M1" s="22"/>
      <c r="N1" s="22"/>
      <c r="O1" s="22"/>
      <c r="P1" s="22"/>
      <c r="Q1" s="22"/>
      <c r="R1" s="22"/>
      <c r="S1" s="22"/>
      <c r="T1" s="22"/>
      <c r="U1" s="22"/>
      <c r="V1" s="22"/>
      <c r="W1" s="22"/>
      <c r="X1" s="22"/>
      <c r="Y1" s="22"/>
      <c r="Z1" s="22"/>
      <c r="AA1" s="22"/>
      <c r="AB1" s="22"/>
    </row>
    <row r="2">
      <c r="A2" s="23" t="s">
        <v>234</v>
      </c>
      <c r="B2" s="26">
        <v>46200.21683009259</v>
      </c>
      <c r="C2" s="27">
        <v>0.4583333333333333</v>
      </c>
      <c r="D2" s="27">
        <v>0.4791666666666667</v>
      </c>
      <c r="E2" s="23" t="s">
        <v>235</v>
      </c>
      <c r="F2" s="23" t="s">
        <v>65</v>
      </c>
      <c r="G2" s="23" t="s">
        <v>236</v>
      </c>
      <c r="H2" s="22"/>
      <c r="I2" s="22"/>
      <c r="J2" s="22"/>
      <c r="K2" s="22"/>
      <c r="L2" s="22"/>
      <c r="M2" s="22"/>
      <c r="N2" s="22"/>
      <c r="O2" s="22"/>
      <c r="P2" s="22"/>
      <c r="Q2" s="22"/>
      <c r="R2" s="22"/>
      <c r="S2" s="22"/>
      <c r="T2" s="22"/>
      <c r="U2" s="22"/>
      <c r="V2" s="22"/>
      <c r="W2" s="22"/>
      <c r="X2" s="22"/>
      <c r="Y2" s="22"/>
      <c r="Z2" s="22"/>
      <c r="AA2" s="22"/>
      <c r="AB2" s="22"/>
    </row>
    <row r="3">
      <c r="A3" s="23" t="s">
        <v>237</v>
      </c>
      <c r="B3" s="26">
        <v>46201.21683009259</v>
      </c>
      <c r="C3" s="27">
        <v>0.4583333333333333</v>
      </c>
      <c r="D3" s="27">
        <v>0.4791666666666667</v>
      </c>
      <c r="E3" s="23" t="s">
        <v>235</v>
      </c>
      <c r="F3" s="23" t="s">
        <v>65</v>
      </c>
      <c r="G3" s="23" t="s">
        <v>236</v>
      </c>
      <c r="H3" s="22"/>
      <c r="I3" s="22"/>
      <c r="J3" s="22"/>
      <c r="K3" s="22"/>
      <c r="L3" s="22"/>
      <c r="M3" s="22"/>
      <c r="N3" s="22"/>
      <c r="O3" s="22"/>
      <c r="P3" s="22"/>
      <c r="Q3" s="22"/>
      <c r="R3" s="22"/>
      <c r="S3" s="22"/>
      <c r="T3" s="22"/>
      <c r="U3" s="22"/>
      <c r="V3" s="22"/>
      <c r="W3" s="22"/>
      <c r="X3" s="22"/>
      <c r="Y3" s="22"/>
      <c r="Z3" s="22"/>
      <c r="AA3" s="22"/>
      <c r="AB3" s="22"/>
    </row>
    <row r="4">
      <c r="A4" s="23" t="s">
        <v>238</v>
      </c>
      <c r="B4" s="26">
        <v>46202.21683009259</v>
      </c>
      <c r="C4" s="27">
        <v>0.4583333333333333</v>
      </c>
      <c r="D4" s="27">
        <v>0.4791666666666667</v>
      </c>
      <c r="E4" s="23" t="s">
        <v>235</v>
      </c>
      <c r="F4" s="23" t="s">
        <v>65</v>
      </c>
      <c r="G4" s="23" t="s">
        <v>236</v>
      </c>
      <c r="H4" s="22"/>
      <c r="I4" s="22"/>
      <c r="J4" s="22"/>
      <c r="K4" s="22"/>
      <c r="L4" s="22"/>
      <c r="M4" s="22"/>
      <c r="N4" s="22"/>
      <c r="O4" s="22"/>
      <c r="P4" s="22"/>
      <c r="Q4" s="22"/>
      <c r="R4" s="22"/>
      <c r="S4" s="22"/>
      <c r="T4" s="22"/>
      <c r="U4" s="22"/>
      <c r="V4" s="22"/>
      <c r="W4" s="22"/>
      <c r="X4" s="22"/>
      <c r="Y4" s="22"/>
      <c r="Z4" s="22"/>
      <c r="AA4" s="22"/>
      <c r="AB4" s="22"/>
    </row>
    <row r="5">
      <c r="A5" s="23" t="s">
        <v>239</v>
      </c>
      <c r="B5" s="26">
        <v>46203.21683009259</v>
      </c>
      <c r="C5" s="27">
        <v>0.4583333333333333</v>
      </c>
      <c r="D5" s="27">
        <v>0.4791666666666667</v>
      </c>
      <c r="E5" s="23" t="s">
        <v>235</v>
      </c>
      <c r="F5" s="23" t="s">
        <v>65</v>
      </c>
      <c r="G5" s="23" t="s">
        <v>236</v>
      </c>
      <c r="H5" s="22"/>
      <c r="I5" s="22"/>
      <c r="J5" s="22"/>
      <c r="K5" s="22"/>
      <c r="L5" s="22"/>
      <c r="M5" s="22"/>
      <c r="N5" s="22"/>
      <c r="O5" s="22"/>
      <c r="P5" s="22"/>
      <c r="Q5" s="22"/>
      <c r="R5" s="22"/>
      <c r="S5" s="22"/>
      <c r="T5" s="22"/>
      <c r="U5" s="22"/>
      <c r="V5" s="22"/>
      <c r="W5" s="22"/>
      <c r="X5" s="22"/>
      <c r="Y5" s="22"/>
      <c r="Z5" s="22"/>
      <c r="AA5" s="22"/>
      <c r="AB5" s="22"/>
    </row>
    <row r="6">
      <c r="A6" s="23" t="s">
        <v>240</v>
      </c>
      <c r="B6" s="26">
        <v>46204.21683009259</v>
      </c>
      <c r="C6" s="27">
        <v>0.4583333333333333</v>
      </c>
      <c r="D6" s="27">
        <v>0.4791666666666667</v>
      </c>
      <c r="E6" s="23" t="s">
        <v>235</v>
      </c>
      <c r="F6" s="23" t="s">
        <v>65</v>
      </c>
      <c r="G6" s="23" t="s">
        <v>236</v>
      </c>
      <c r="H6" s="22"/>
      <c r="I6" s="22"/>
      <c r="J6" s="22"/>
      <c r="K6" s="22"/>
      <c r="L6" s="22"/>
      <c r="M6" s="22"/>
      <c r="N6" s="22"/>
      <c r="O6" s="22"/>
      <c r="P6" s="22"/>
      <c r="Q6" s="22"/>
      <c r="R6" s="22"/>
      <c r="S6" s="22"/>
      <c r="T6" s="22"/>
      <c r="U6" s="22"/>
      <c r="V6" s="22"/>
      <c r="W6" s="22"/>
      <c r="X6" s="22"/>
      <c r="Y6" s="22"/>
      <c r="Z6" s="22"/>
      <c r="AA6" s="22"/>
      <c r="AB6" s="22"/>
    </row>
    <row r="7">
      <c r="A7" s="23" t="s">
        <v>241</v>
      </c>
      <c r="B7" s="26">
        <v>46205.21683009259</v>
      </c>
      <c r="C7" s="27">
        <v>0.4583333333333333</v>
      </c>
      <c r="D7" s="27">
        <v>0.4791666666666667</v>
      </c>
      <c r="E7" s="23" t="s">
        <v>235</v>
      </c>
      <c r="F7" s="23" t="s">
        <v>65</v>
      </c>
      <c r="G7" s="23" t="s">
        <v>236</v>
      </c>
      <c r="H7" s="22"/>
      <c r="I7" s="22"/>
      <c r="J7" s="22"/>
      <c r="K7" s="22"/>
      <c r="L7" s="22"/>
      <c r="M7" s="22"/>
      <c r="N7" s="22"/>
      <c r="O7" s="22"/>
      <c r="P7" s="22"/>
      <c r="Q7" s="22"/>
      <c r="R7" s="22"/>
      <c r="S7" s="22"/>
      <c r="T7" s="22"/>
      <c r="U7" s="22"/>
      <c r="V7" s="22"/>
      <c r="W7" s="22"/>
      <c r="X7" s="22"/>
      <c r="Y7" s="22"/>
      <c r="Z7" s="22"/>
      <c r="AA7" s="22"/>
      <c r="AB7" s="22"/>
    </row>
    <row r="8">
      <c r="A8" s="23" t="s">
        <v>242</v>
      </c>
      <c r="B8" s="26">
        <v>46206.21683009259</v>
      </c>
      <c r="C8" s="27">
        <v>0.4583333333333333</v>
      </c>
      <c r="D8" s="27">
        <v>0.4791666666666667</v>
      </c>
      <c r="E8" s="23" t="s">
        <v>235</v>
      </c>
      <c r="F8" s="23" t="s">
        <v>65</v>
      </c>
      <c r="G8" s="23" t="s">
        <v>236</v>
      </c>
      <c r="H8" s="22"/>
      <c r="I8" s="22"/>
      <c r="J8" s="22"/>
      <c r="K8" s="22"/>
      <c r="L8" s="22"/>
      <c r="M8" s="22"/>
      <c r="N8" s="22"/>
      <c r="O8" s="22"/>
      <c r="P8" s="22"/>
      <c r="Q8" s="22"/>
      <c r="R8" s="22"/>
      <c r="S8" s="22"/>
      <c r="T8" s="22"/>
      <c r="U8" s="22"/>
      <c r="V8" s="22"/>
      <c r="W8" s="22"/>
      <c r="X8" s="22"/>
      <c r="Y8" s="22"/>
      <c r="Z8" s="22"/>
      <c r="AA8" s="22"/>
      <c r="AB8" s="22"/>
    </row>
    <row r="9">
      <c r="A9" s="22"/>
      <c r="B9" s="28"/>
      <c r="C9" s="22"/>
      <c r="D9" s="22"/>
      <c r="E9" s="22"/>
      <c r="F9" s="22"/>
      <c r="G9" s="22"/>
      <c r="H9" s="22"/>
      <c r="I9" s="22"/>
      <c r="J9" s="22"/>
      <c r="K9" s="22"/>
      <c r="L9" s="22"/>
      <c r="M9" s="22"/>
      <c r="N9" s="22"/>
      <c r="O9" s="22"/>
      <c r="P9" s="22"/>
      <c r="Q9" s="22"/>
      <c r="R9" s="22"/>
      <c r="S9" s="22"/>
      <c r="T9" s="22"/>
      <c r="U9" s="22"/>
      <c r="V9" s="22"/>
      <c r="W9" s="22"/>
      <c r="X9" s="22"/>
      <c r="Y9" s="22"/>
      <c r="Z9" s="22"/>
      <c r="AA9" s="22"/>
      <c r="AB9" s="22"/>
    </row>
    <row r="10">
      <c r="A10" s="22"/>
      <c r="B10" s="28"/>
      <c r="C10" s="22"/>
      <c r="D10" s="22"/>
      <c r="E10" s="22"/>
      <c r="F10" s="22"/>
      <c r="G10" s="22"/>
      <c r="H10" s="22"/>
      <c r="I10" s="22"/>
      <c r="J10" s="22"/>
      <c r="K10" s="22"/>
      <c r="L10" s="22"/>
      <c r="M10" s="22"/>
      <c r="N10" s="22"/>
      <c r="O10" s="22"/>
      <c r="P10" s="22"/>
      <c r="Q10" s="22"/>
      <c r="R10" s="22"/>
      <c r="S10" s="22"/>
      <c r="T10" s="22"/>
      <c r="U10" s="22"/>
      <c r="V10" s="22"/>
      <c r="W10" s="22"/>
      <c r="X10" s="22"/>
      <c r="Y10" s="22"/>
      <c r="Z10" s="22"/>
      <c r="AA10" s="22"/>
      <c r="AB10" s="22"/>
    </row>
    <row r="11">
      <c r="A11" s="22"/>
      <c r="B11" s="28"/>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row>
    <row r="12">
      <c r="A12" s="22"/>
      <c r="B12" s="28"/>
      <c r="C12" s="22"/>
      <c r="D12" s="22"/>
      <c r="E12" s="22"/>
      <c r="F12" s="22"/>
      <c r="G12" s="22"/>
      <c r="H12" s="22"/>
      <c r="I12" s="22"/>
      <c r="J12" s="22"/>
      <c r="K12" s="22"/>
      <c r="L12" s="22"/>
      <c r="M12" s="22"/>
      <c r="N12" s="22"/>
      <c r="O12" s="22"/>
      <c r="P12" s="22"/>
      <c r="Q12" s="22"/>
      <c r="R12" s="22"/>
      <c r="S12" s="22"/>
      <c r="T12" s="22"/>
      <c r="U12" s="22"/>
      <c r="V12" s="22"/>
      <c r="W12" s="22"/>
      <c r="X12" s="22"/>
      <c r="Y12" s="22"/>
      <c r="Z12" s="22"/>
      <c r="AA12" s="22"/>
      <c r="AB12" s="22"/>
    </row>
    <row r="13">
      <c r="A13" s="22"/>
      <c r="B13" s="28"/>
      <c r="C13" s="22"/>
      <c r="D13" s="22"/>
      <c r="E13" s="22"/>
      <c r="F13" s="22"/>
      <c r="G13" s="22"/>
      <c r="H13" s="22"/>
      <c r="I13" s="22"/>
      <c r="J13" s="22"/>
      <c r="K13" s="22"/>
      <c r="L13" s="22"/>
      <c r="M13" s="22"/>
      <c r="N13" s="22"/>
      <c r="O13" s="22"/>
      <c r="P13" s="22"/>
      <c r="Q13" s="22"/>
      <c r="R13" s="22"/>
      <c r="S13" s="22"/>
      <c r="T13" s="22"/>
      <c r="U13" s="22"/>
      <c r="V13" s="22"/>
      <c r="W13" s="22"/>
      <c r="X13" s="22"/>
      <c r="Y13" s="22"/>
      <c r="Z13" s="22"/>
      <c r="AA13" s="22"/>
      <c r="AB13" s="22"/>
    </row>
    <row r="14">
      <c r="A14" s="22"/>
      <c r="B14" s="28"/>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row>
    <row r="15">
      <c r="A15" s="22"/>
      <c r="B15" s="28"/>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row>
    <row r="16">
      <c r="A16" s="22"/>
      <c r="B16" s="28"/>
      <c r="C16" s="22"/>
      <c r="D16" s="22"/>
      <c r="E16" s="22"/>
      <c r="F16" s="22"/>
      <c r="G16" s="22"/>
      <c r="H16" s="22"/>
      <c r="I16" s="22"/>
      <c r="J16" s="22"/>
      <c r="K16" s="22"/>
      <c r="L16" s="22"/>
      <c r="M16" s="22"/>
      <c r="N16" s="22"/>
      <c r="O16" s="22"/>
      <c r="P16" s="22"/>
      <c r="Q16" s="22"/>
      <c r="R16" s="22"/>
      <c r="S16" s="22"/>
      <c r="T16" s="22"/>
      <c r="U16" s="22"/>
      <c r="V16" s="22"/>
      <c r="W16" s="22"/>
      <c r="X16" s="22"/>
      <c r="Y16" s="22"/>
      <c r="Z16" s="22"/>
      <c r="AA16" s="22"/>
      <c r="AB16" s="22"/>
    </row>
    <row r="17">
      <c r="A17" s="22"/>
      <c r="B17" s="28"/>
      <c r="C17" s="22"/>
      <c r="D17" s="22"/>
      <c r="E17" s="22"/>
      <c r="F17" s="22"/>
      <c r="G17" s="22"/>
      <c r="H17" s="22"/>
      <c r="I17" s="22"/>
      <c r="J17" s="22"/>
      <c r="K17" s="22"/>
      <c r="L17" s="22"/>
      <c r="M17" s="22"/>
      <c r="N17" s="22"/>
      <c r="O17" s="22"/>
      <c r="P17" s="22"/>
      <c r="Q17" s="22"/>
      <c r="R17" s="22"/>
      <c r="S17" s="22"/>
      <c r="T17" s="22"/>
      <c r="U17" s="22"/>
      <c r="V17" s="22"/>
      <c r="W17" s="22"/>
      <c r="X17" s="22"/>
      <c r="Y17" s="22"/>
      <c r="Z17" s="22"/>
      <c r="AA17" s="22"/>
      <c r="AB17" s="22"/>
    </row>
    <row r="18">
      <c r="A18" s="22"/>
      <c r="B18" s="28"/>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row>
    <row r="19">
      <c r="A19" s="22"/>
      <c r="B19" s="28"/>
      <c r="C19" s="22"/>
      <c r="D19" s="22"/>
      <c r="E19" s="22"/>
      <c r="F19" s="22"/>
      <c r="G19" s="22"/>
      <c r="H19" s="22"/>
      <c r="I19" s="22"/>
      <c r="J19" s="22"/>
      <c r="K19" s="22"/>
      <c r="L19" s="22"/>
      <c r="M19" s="22"/>
      <c r="N19" s="22"/>
      <c r="O19" s="22"/>
      <c r="P19" s="22"/>
      <c r="Q19" s="22"/>
      <c r="R19" s="22"/>
      <c r="S19" s="22"/>
      <c r="T19" s="22"/>
      <c r="U19" s="22"/>
      <c r="V19" s="22"/>
      <c r="W19" s="22"/>
      <c r="X19" s="22"/>
      <c r="Y19" s="22"/>
      <c r="Z19" s="22"/>
      <c r="AA19" s="22"/>
      <c r="AB19" s="22"/>
    </row>
    <row r="20">
      <c r="A20" s="22"/>
      <c r="B20" s="28"/>
      <c r="C20" s="22"/>
      <c r="D20" s="22"/>
      <c r="E20" s="22"/>
      <c r="F20" s="22"/>
      <c r="G20" s="22"/>
      <c r="H20" s="22"/>
      <c r="I20" s="22"/>
      <c r="J20" s="22"/>
      <c r="K20" s="22"/>
      <c r="L20" s="22"/>
      <c r="M20" s="22"/>
      <c r="N20" s="22"/>
      <c r="O20" s="22"/>
      <c r="P20" s="22"/>
      <c r="Q20" s="22"/>
      <c r="R20" s="22"/>
      <c r="S20" s="22"/>
      <c r="T20" s="22"/>
      <c r="U20" s="22"/>
      <c r="V20" s="22"/>
      <c r="W20" s="22"/>
      <c r="X20" s="22"/>
      <c r="Y20" s="22"/>
      <c r="Z20" s="22"/>
      <c r="AA20" s="22"/>
      <c r="AB20" s="22"/>
    </row>
    <row r="21" ht="15.75" customHeight="1">
      <c r="A21" s="22"/>
      <c r="B21" s="28"/>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row>
    <row r="22" ht="15.75" customHeight="1">
      <c r="A22" s="22"/>
      <c r="B22" s="28"/>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row>
    <row r="23" ht="15.75" customHeight="1">
      <c r="A23" s="22"/>
      <c r="B23" s="28"/>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row>
    <row r="24" ht="15.75" customHeight="1">
      <c r="A24" s="22"/>
      <c r="B24" s="28"/>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row>
    <row r="25" ht="15.75" customHeight="1">
      <c r="A25" s="22"/>
      <c r="B25" s="28"/>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row>
    <row r="26" ht="15.75" customHeight="1">
      <c r="A26" s="22"/>
      <c r="B26" s="28"/>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row>
    <row r="27" ht="15.75" customHeight="1">
      <c r="A27" s="22"/>
      <c r="B27" s="28"/>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row>
    <row r="28" ht="15.75" customHeight="1">
      <c r="A28" s="22"/>
      <c r="B28" s="28"/>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row>
    <row r="29" ht="15.75" customHeight="1">
      <c r="A29" s="22"/>
      <c r="B29" s="28"/>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row>
    <row r="30" ht="15.75" customHeight="1">
      <c r="A30" s="22"/>
      <c r="B30" s="28"/>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row>
    <row r="31" ht="15.75" customHeight="1">
      <c r="A31" s="22"/>
      <c r="B31" s="28"/>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row>
    <row r="32" ht="15.75" customHeight="1">
      <c r="A32" s="22"/>
      <c r="B32" s="28"/>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row>
    <row r="33" ht="15.75" customHeight="1">
      <c r="A33" s="22"/>
      <c r="B33" s="28"/>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row>
    <row r="34" ht="15.75" customHeight="1">
      <c r="A34" s="22"/>
      <c r="B34" s="28"/>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row>
    <row r="35" ht="15.75" customHeight="1">
      <c r="A35" s="22"/>
      <c r="B35" s="28"/>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row>
    <row r="36" ht="15.75" customHeight="1">
      <c r="A36" s="22"/>
      <c r="B36" s="28"/>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row>
    <row r="37" ht="15.75" customHeight="1">
      <c r="A37" s="22"/>
      <c r="B37" s="28"/>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row>
    <row r="38" ht="15.75" customHeight="1">
      <c r="A38" s="22"/>
      <c r="B38" s="28"/>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row>
    <row r="39" ht="15.75" customHeight="1">
      <c r="A39" s="22"/>
      <c r="B39" s="28"/>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row>
    <row r="40" ht="15.75" customHeight="1">
      <c r="A40" s="22"/>
      <c r="B40" s="28"/>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row>
    <row r="41" ht="15.75" customHeight="1">
      <c r="A41" s="22"/>
      <c r="B41" s="28"/>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row>
    <row r="42" ht="15.75" customHeight="1">
      <c r="A42" s="22"/>
      <c r="B42" s="28"/>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row>
    <row r="43" ht="15.75" customHeight="1">
      <c r="A43" s="22"/>
      <c r="B43" s="28"/>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row>
    <row r="44" ht="15.75" customHeight="1">
      <c r="A44" s="22"/>
      <c r="B44" s="28"/>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row>
    <row r="45" ht="15.75" customHeight="1">
      <c r="A45" s="22"/>
      <c r="B45" s="28"/>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row>
    <row r="46" ht="15.75" customHeight="1">
      <c r="A46" s="22"/>
      <c r="B46" s="28"/>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row>
    <row r="47" ht="15.75" customHeight="1">
      <c r="A47" s="22"/>
      <c r="B47" s="28"/>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row>
    <row r="48" ht="15.75" customHeight="1">
      <c r="A48" s="22"/>
      <c r="B48" s="28"/>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row>
    <row r="49" ht="15.75" customHeight="1">
      <c r="A49" s="22"/>
      <c r="B49" s="28"/>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row>
    <row r="50" ht="15.75" customHeight="1">
      <c r="A50" s="22"/>
      <c r="B50" s="28"/>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row>
    <row r="51" ht="15.75" customHeight="1">
      <c r="A51" s="22"/>
      <c r="B51" s="28"/>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row>
    <row r="52" ht="15.75" customHeight="1">
      <c r="A52" s="22"/>
      <c r="B52" s="28"/>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row>
    <row r="53" ht="15.75" customHeight="1">
      <c r="A53" s="22"/>
      <c r="B53" s="28"/>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row>
    <row r="54" ht="15.75" customHeight="1">
      <c r="A54" s="22"/>
      <c r="B54" s="28"/>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row>
    <row r="55" ht="15.75" customHeight="1">
      <c r="A55" s="22"/>
      <c r="B55" s="28"/>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row>
    <row r="56" ht="15.75" customHeight="1">
      <c r="A56" s="22"/>
      <c r="B56" s="28"/>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row>
    <row r="57" ht="15.75" customHeight="1">
      <c r="A57" s="22"/>
      <c r="B57" s="28"/>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row>
    <row r="58" ht="15.75" customHeight="1">
      <c r="A58" s="22"/>
      <c r="B58" s="28"/>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row>
    <row r="59" ht="15.75" customHeight="1">
      <c r="A59" s="22"/>
      <c r="B59" s="28"/>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row>
    <row r="60" ht="15.75" customHeight="1">
      <c r="A60" s="22"/>
      <c r="B60" s="28"/>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row>
    <row r="61" ht="15.75" customHeight="1">
      <c r="A61" s="22"/>
      <c r="B61" s="28"/>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row>
    <row r="62" ht="15.75" customHeight="1">
      <c r="A62" s="22"/>
      <c r="B62" s="28"/>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row>
    <row r="63" ht="15.75" customHeight="1">
      <c r="A63" s="22"/>
      <c r="B63" s="28"/>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row>
    <row r="64" ht="15.75" customHeight="1">
      <c r="A64" s="22"/>
      <c r="B64" s="28"/>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row>
    <row r="65" ht="15.75" customHeight="1">
      <c r="A65" s="22"/>
      <c r="B65" s="28"/>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row>
    <row r="66" ht="15.75" customHeight="1">
      <c r="A66" s="22"/>
      <c r="B66" s="28"/>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row>
    <row r="67" ht="15.75" customHeight="1">
      <c r="A67" s="22"/>
      <c r="B67" s="28"/>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row>
    <row r="68" ht="15.75" customHeight="1">
      <c r="A68" s="22"/>
      <c r="B68" s="28"/>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row>
    <row r="69" ht="15.75" customHeight="1">
      <c r="A69" s="22"/>
      <c r="B69" s="28"/>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row>
    <row r="70" ht="15.75" customHeight="1">
      <c r="A70" s="22"/>
      <c r="B70" s="28"/>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row>
    <row r="71" ht="15.75" customHeight="1">
      <c r="A71" s="22"/>
      <c r="B71" s="28"/>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row>
    <row r="72" ht="15.75" customHeight="1">
      <c r="A72" s="22"/>
      <c r="B72" s="28"/>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row>
    <row r="73" ht="15.75" customHeight="1">
      <c r="A73" s="22"/>
      <c r="B73" s="28"/>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row>
    <row r="74" ht="15.75" customHeight="1">
      <c r="A74" s="22"/>
      <c r="B74" s="28"/>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row>
    <row r="75" ht="15.75" customHeight="1">
      <c r="A75" s="22"/>
      <c r="B75" s="28"/>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row>
    <row r="76" ht="15.75" customHeight="1">
      <c r="A76" s="22"/>
      <c r="B76" s="28"/>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row>
    <row r="77" ht="15.75" customHeight="1">
      <c r="A77" s="22"/>
      <c r="B77" s="28"/>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row>
    <row r="78" ht="15.75" customHeight="1">
      <c r="A78" s="22"/>
      <c r="B78" s="28"/>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row>
    <row r="79" ht="15.75" customHeight="1">
      <c r="A79" s="22"/>
      <c r="B79" s="28"/>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row>
    <row r="80" ht="15.75" customHeight="1">
      <c r="A80" s="22"/>
      <c r="B80" s="28"/>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row>
    <row r="81" ht="15.75" customHeight="1">
      <c r="A81" s="22"/>
      <c r="B81" s="28"/>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row>
    <row r="82" ht="15.75" customHeight="1">
      <c r="A82" s="22"/>
      <c r="B82" s="28"/>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row>
    <row r="83" ht="15.75" customHeight="1">
      <c r="A83" s="22"/>
      <c r="B83" s="28"/>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row>
    <row r="84" ht="15.75" customHeight="1">
      <c r="A84" s="22"/>
      <c r="B84" s="28"/>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row>
    <row r="85" ht="15.75" customHeight="1">
      <c r="A85" s="22"/>
      <c r="B85" s="28"/>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row>
    <row r="86" ht="15.75" customHeight="1">
      <c r="A86" s="22"/>
      <c r="B86" s="28"/>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row>
    <row r="87" ht="15.75" customHeight="1">
      <c r="A87" s="22"/>
      <c r="B87" s="28"/>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row>
    <row r="88" ht="15.75" customHeight="1">
      <c r="A88" s="22"/>
      <c r="B88" s="28"/>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row>
    <row r="89" ht="15.75" customHeight="1">
      <c r="A89" s="22"/>
      <c r="B89" s="28"/>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row>
    <row r="90" ht="15.75" customHeight="1">
      <c r="A90" s="22"/>
      <c r="B90" s="28"/>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row>
    <row r="91" ht="15.75" customHeight="1">
      <c r="A91" s="22"/>
      <c r="B91" s="28"/>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row>
    <row r="92" ht="15.75" customHeight="1">
      <c r="A92" s="22"/>
      <c r="B92" s="28"/>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row>
    <row r="93" ht="15.75" customHeight="1">
      <c r="A93" s="22"/>
      <c r="B93" s="28"/>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row>
    <row r="94" ht="15.75" customHeight="1">
      <c r="A94" s="22"/>
      <c r="B94" s="28"/>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row>
    <row r="95" ht="15.75" customHeight="1">
      <c r="A95" s="22"/>
      <c r="B95" s="28"/>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row>
    <row r="96" ht="15.75" customHeight="1">
      <c r="A96" s="22"/>
      <c r="B96" s="28"/>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row>
    <row r="97" ht="15.75" customHeight="1">
      <c r="A97" s="22"/>
      <c r="B97" s="28"/>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row>
    <row r="98" ht="15.75" customHeight="1">
      <c r="A98" s="22"/>
      <c r="B98" s="28"/>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row>
    <row r="99" ht="15.75" customHeight="1">
      <c r="A99" s="22"/>
      <c r="B99" s="28"/>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row>
    <row r="100" ht="15.75" customHeight="1">
      <c r="A100" s="22"/>
      <c r="B100" s="28"/>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F2:F100">
      <formula1>"Yes,No"</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2.63"/>
    <col customWidth="1" min="2" max="2" width="20.13"/>
    <col customWidth="1" min="3" max="3" width="24.0"/>
    <col customWidth="1" min="4" max="4" width="32.63"/>
    <col customWidth="1" min="5" max="5" width="15.13"/>
    <col customWidth="1" min="6" max="6" width="28.0"/>
    <col customWidth="1" min="7" max="26" width="8.63"/>
  </cols>
  <sheetData>
    <row r="1">
      <c r="A1" s="29" t="s">
        <v>243</v>
      </c>
      <c r="G1" s="22"/>
      <c r="H1" s="22"/>
      <c r="I1" s="22"/>
      <c r="J1" s="22"/>
      <c r="K1" s="22"/>
      <c r="L1" s="22"/>
      <c r="M1" s="22"/>
      <c r="N1" s="22"/>
      <c r="O1" s="22"/>
      <c r="P1" s="22"/>
      <c r="Q1" s="22"/>
      <c r="R1" s="22"/>
      <c r="S1" s="22"/>
      <c r="T1" s="22"/>
      <c r="U1" s="22"/>
      <c r="V1" s="22"/>
      <c r="W1" s="22"/>
      <c r="X1" s="22"/>
      <c r="Y1" s="22"/>
      <c r="Z1" s="22"/>
    </row>
    <row r="2">
      <c r="A2" s="22"/>
      <c r="B2" s="30"/>
      <c r="C2" s="22"/>
      <c r="D2" s="22"/>
      <c r="E2" s="22"/>
      <c r="F2" s="22"/>
      <c r="G2" s="22"/>
      <c r="H2" s="22"/>
      <c r="I2" s="22"/>
      <c r="J2" s="22"/>
      <c r="K2" s="22"/>
      <c r="L2" s="22"/>
      <c r="M2" s="22"/>
      <c r="N2" s="22"/>
      <c r="O2" s="22"/>
      <c r="P2" s="22"/>
      <c r="Q2" s="22"/>
      <c r="R2" s="22"/>
      <c r="S2" s="22"/>
      <c r="T2" s="22"/>
      <c r="U2" s="22"/>
      <c r="V2" s="22"/>
      <c r="W2" s="22"/>
      <c r="X2" s="22"/>
      <c r="Y2" s="22"/>
      <c r="Z2" s="22"/>
    </row>
    <row r="3">
      <c r="A3" s="31" t="s">
        <v>244</v>
      </c>
      <c r="B3" s="32" t="s">
        <v>245</v>
      </c>
      <c r="C3" s="22"/>
      <c r="D3" s="31" t="s">
        <v>246</v>
      </c>
      <c r="E3" s="31" t="s">
        <v>247</v>
      </c>
      <c r="F3" s="22"/>
      <c r="G3" s="22"/>
      <c r="H3" s="22"/>
      <c r="I3" s="22"/>
      <c r="J3" s="22"/>
      <c r="K3" s="22"/>
      <c r="L3" s="22"/>
      <c r="M3" s="22"/>
      <c r="N3" s="22"/>
      <c r="O3" s="22"/>
      <c r="P3" s="22"/>
      <c r="Q3" s="22"/>
      <c r="R3" s="22"/>
      <c r="S3" s="22"/>
      <c r="T3" s="22"/>
      <c r="U3" s="22"/>
      <c r="V3" s="22"/>
      <c r="W3" s="22"/>
      <c r="X3" s="22"/>
      <c r="Y3" s="22"/>
      <c r="Z3" s="22"/>
    </row>
    <row r="4">
      <c r="A4" s="23" t="s">
        <v>248</v>
      </c>
      <c r="B4" s="30">
        <f>COUNTA(Applications!B2:B1000)</f>
        <v>1</v>
      </c>
      <c r="C4" s="22"/>
      <c r="D4" s="23" t="s">
        <v>80</v>
      </c>
      <c r="E4" s="22">
        <f>COUNTIF(Applications!$Z:$Z, D4)</f>
        <v>1</v>
      </c>
      <c r="F4" s="22"/>
      <c r="G4" s="22"/>
      <c r="H4" s="22"/>
      <c r="I4" s="22"/>
      <c r="J4" s="22"/>
      <c r="K4" s="22"/>
      <c r="L4" s="22"/>
      <c r="M4" s="22"/>
      <c r="N4" s="22"/>
      <c r="O4" s="22"/>
      <c r="P4" s="22"/>
      <c r="Q4" s="22"/>
      <c r="R4" s="22"/>
      <c r="S4" s="22"/>
      <c r="T4" s="22"/>
      <c r="U4" s="22"/>
      <c r="V4" s="22"/>
      <c r="W4" s="22"/>
      <c r="X4" s="22"/>
      <c r="Y4" s="22"/>
      <c r="Z4" s="22"/>
    </row>
    <row r="5">
      <c r="A5" s="23" t="s">
        <v>80</v>
      </c>
      <c r="B5" s="30">
        <f>COUNTIF(Applications!$Z:$Z, "New")</f>
        <v>1</v>
      </c>
      <c r="C5" s="22"/>
      <c r="D5" s="23" t="s">
        <v>67</v>
      </c>
      <c r="E5" s="22">
        <f>COUNTIF(Applications!$Z:$Z, D5)</f>
        <v>4</v>
      </c>
      <c r="F5" s="22"/>
      <c r="G5" s="22"/>
      <c r="H5" s="22"/>
      <c r="I5" s="22"/>
      <c r="J5" s="22"/>
      <c r="K5" s="22"/>
      <c r="L5" s="22"/>
      <c r="M5" s="22"/>
      <c r="N5" s="22"/>
      <c r="O5" s="22"/>
      <c r="P5" s="22"/>
      <c r="Q5" s="22"/>
      <c r="R5" s="22"/>
      <c r="S5" s="22"/>
      <c r="T5" s="22"/>
      <c r="U5" s="22"/>
      <c r="V5" s="22"/>
      <c r="W5" s="22"/>
      <c r="X5" s="22"/>
      <c r="Y5" s="22"/>
      <c r="Z5" s="22"/>
    </row>
    <row r="6">
      <c r="A6" s="23" t="s">
        <v>67</v>
      </c>
      <c r="B6" s="30">
        <f>COUNTIF(Applications!$Z:$Z, "Scored")</f>
        <v>4</v>
      </c>
      <c r="C6" s="22"/>
      <c r="D6" s="23" t="s">
        <v>217</v>
      </c>
      <c r="E6" s="22">
        <f>COUNTIF(Applications!$Z:$Z, D6)</f>
        <v>0</v>
      </c>
      <c r="F6" s="22"/>
      <c r="G6" s="22"/>
      <c r="H6" s="22"/>
      <c r="I6" s="22"/>
      <c r="J6" s="22"/>
      <c r="K6" s="22"/>
      <c r="L6" s="22"/>
      <c r="M6" s="22"/>
      <c r="N6" s="22"/>
      <c r="O6" s="22"/>
      <c r="P6" s="22"/>
      <c r="Q6" s="22"/>
      <c r="R6" s="22"/>
      <c r="S6" s="22"/>
      <c r="T6" s="22"/>
      <c r="U6" s="22"/>
      <c r="V6" s="22"/>
      <c r="W6" s="22"/>
      <c r="X6" s="22"/>
      <c r="Y6" s="22"/>
      <c r="Z6" s="22"/>
    </row>
    <row r="7">
      <c r="A7" s="23" t="s">
        <v>249</v>
      </c>
      <c r="B7" s="30">
        <f>COUNTIF(Applications!$AB:$AB, "Strong")</f>
        <v>1</v>
      </c>
      <c r="C7" s="22"/>
      <c r="D7" s="23" t="s">
        <v>72</v>
      </c>
      <c r="E7" s="22">
        <f>COUNTIF(Applications!$Z:$Z, D7)</f>
        <v>0</v>
      </c>
      <c r="F7" s="22"/>
      <c r="G7" s="22"/>
      <c r="H7" s="22"/>
      <c r="I7" s="22"/>
      <c r="J7" s="22"/>
      <c r="K7" s="22"/>
      <c r="L7" s="22"/>
      <c r="M7" s="22"/>
      <c r="N7" s="22"/>
      <c r="O7" s="22"/>
      <c r="P7" s="22"/>
      <c r="Q7" s="22"/>
      <c r="R7" s="22"/>
      <c r="S7" s="22"/>
      <c r="T7" s="22"/>
      <c r="U7" s="22"/>
      <c r="V7" s="22"/>
      <c r="W7" s="22"/>
      <c r="X7" s="22"/>
      <c r="Y7" s="22"/>
      <c r="Z7" s="22"/>
    </row>
    <row r="8">
      <c r="A8" s="23" t="s">
        <v>250</v>
      </c>
      <c r="B8" s="30">
        <f>COUNTIF(Applications!$AB:$AB, "Average")</f>
        <v>2</v>
      </c>
      <c r="C8" s="22"/>
      <c r="D8" s="23" t="s">
        <v>225</v>
      </c>
      <c r="E8" s="22">
        <f>COUNTIF(Applications!$Z:$Z, D8)</f>
        <v>0</v>
      </c>
      <c r="F8" s="22"/>
      <c r="G8" s="22"/>
      <c r="H8" s="22"/>
      <c r="I8" s="22"/>
      <c r="J8" s="22"/>
      <c r="K8" s="22"/>
      <c r="L8" s="22"/>
      <c r="M8" s="22"/>
      <c r="N8" s="22"/>
      <c r="O8" s="22"/>
      <c r="P8" s="22"/>
      <c r="Q8" s="22"/>
      <c r="R8" s="22"/>
      <c r="S8" s="22"/>
      <c r="T8" s="22"/>
      <c r="U8" s="22"/>
      <c r="V8" s="22"/>
      <c r="W8" s="22"/>
      <c r="X8" s="22"/>
      <c r="Y8" s="22"/>
      <c r="Z8" s="22"/>
    </row>
    <row r="9">
      <c r="A9" s="23" t="s">
        <v>251</v>
      </c>
      <c r="B9" s="30">
        <f>COUNTIF(Applications!$AB:$AB, "Weak")</f>
        <v>1</v>
      </c>
      <c r="C9" s="22"/>
      <c r="D9" s="23" t="s">
        <v>252</v>
      </c>
      <c r="E9" s="22">
        <f>COUNTIF(Applications!$Z:$Z, D9)</f>
        <v>0</v>
      </c>
      <c r="F9" s="22"/>
      <c r="G9" s="22"/>
      <c r="H9" s="22"/>
      <c r="I9" s="22"/>
      <c r="J9" s="22"/>
      <c r="K9" s="22"/>
      <c r="L9" s="22"/>
      <c r="M9" s="22"/>
      <c r="N9" s="22"/>
      <c r="O9" s="22"/>
      <c r="P9" s="22"/>
      <c r="Q9" s="22"/>
      <c r="R9" s="22"/>
      <c r="S9" s="22"/>
      <c r="T9" s="22"/>
      <c r="U9" s="22"/>
      <c r="V9" s="22"/>
      <c r="W9" s="22"/>
      <c r="X9" s="22"/>
      <c r="Y9" s="22"/>
      <c r="Z9" s="22"/>
    </row>
    <row r="10">
      <c r="A10" s="23" t="s">
        <v>253</v>
      </c>
      <c r="B10" s="30">
        <f>COUNTIF(Applications!$Z:$Z, "Interview Scheduled")</f>
        <v>0</v>
      </c>
      <c r="C10" s="22"/>
      <c r="D10" s="23" t="s">
        <v>254</v>
      </c>
      <c r="E10" s="22">
        <f>COUNTIF(Applications!$Z:$Z, D10)</f>
        <v>0</v>
      </c>
      <c r="F10" s="22"/>
      <c r="G10" s="22"/>
      <c r="H10" s="22"/>
      <c r="I10" s="22"/>
      <c r="J10" s="22"/>
      <c r="K10" s="22"/>
      <c r="L10" s="22"/>
      <c r="M10" s="22"/>
      <c r="N10" s="22"/>
      <c r="O10" s="22"/>
      <c r="P10" s="22"/>
      <c r="Q10" s="22"/>
      <c r="R10" s="22"/>
      <c r="S10" s="22"/>
      <c r="T10" s="22"/>
      <c r="U10" s="22"/>
      <c r="V10" s="22"/>
      <c r="W10" s="22"/>
      <c r="X10" s="22"/>
      <c r="Y10" s="22"/>
      <c r="Z10" s="22"/>
    </row>
    <row r="11">
      <c r="A11" s="23" t="s">
        <v>72</v>
      </c>
      <c r="B11" s="30">
        <f>COUNTIF(Applications!$Z:$Z, "Manual Review")</f>
        <v>0</v>
      </c>
      <c r="C11" s="22"/>
      <c r="D11" s="23" t="s">
        <v>255</v>
      </c>
      <c r="E11" s="22">
        <f>COUNTIF(Applications!$Z:$Z, D11)</f>
        <v>0</v>
      </c>
      <c r="F11" s="22"/>
      <c r="G11" s="22"/>
      <c r="H11" s="22"/>
      <c r="I11" s="22"/>
      <c r="J11" s="22"/>
      <c r="K11" s="22"/>
      <c r="L11" s="22"/>
      <c r="M11" s="22"/>
      <c r="N11" s="22"/>
      <c r="O11" s="22"/>
      <c r="P11" s="22"/>
      <c r="Q11" s="22"/>
      <c r="R11" s="22"/>
      <c r="S11" s="22"/>
      <c r="T11" s="22"/>
      <c r="U11" s="22"/>
      <c r="V11" s="22"/>
      <c r="W11" s="22"/>
      <c r="X11" s="22"/>
      <c r="Y11" s="22"/>
      <c r="Z11" s="22"/>
    </row>
    <row r="12">
      <c r="A12" s="22"/>
      <c r="B12" s="30"/>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30"/>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30"/>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30"/>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30"/>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30"/>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30"/>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30"/>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30"/>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75"/>
    <col customWidth="1" min="2" max="2" width="26.13"/>
    <col customWidth="1" min="3" max="26" width="8.63"/>
  </cols>
  <sheetData>
    <row r="1">
      <c r="A1" s="21" t="s">
        <v>211</v>
      </c>
      <c r="B1" s="21" t="s">
        <v>256</v>
      </c>
      <c r="C1" s="22"/>
      <c r="D1" s="22"/>
      <c r="E1" s="22"/>
      <c r="F1" s="22"/>
      <c r="G1" s="22"/>
      <c r="H1" s="22"/>
      <c r="I1" s="22"/>
      <c r="J1" s="22"/>
      <c r="K1" s="22"/>
      <c r="L1" s="22"/>
      <c r="M1" s="22"/>
      <c r="N1" s="22"/>
      <c r="O1" s="22"/>
      <c r="P1" s="22"/>
      <c r="Q1" s="22"/>
      <c r="R1" s="22"/>
      <c r="S1" s="22"/>
      <c r="T1" s="22"/>
      <c r="U1" s="22"/>
      <c r="V1" s="22"/>
      <c r="W1" s="22"/>
      <c r="X1" s="22"/>
      <c r="Y1" s="22"/>
      <c r="Z1" s="22"/>
    </row>
    <row r="2">
      <c r="A2" s="23" t="s">
        <v>257</v>
      </c>
      <c r="B2" s="23" t="s">
        <v>114</v>
      </c>
      <c r="C2" s="22"/>
      <c r="D2" s="22"/>
      <c r="E2" s="22"/>
      <c r="F2" s="22"/>
      <c r="G2" s="22"/>
      <c r="H2" s="22"/>
      <c r="I2" s="22"/>
      <c r="J2" s="22"/>
      <c r="K2" s="22"/>
      <c r="L2" s="22"/>
      <c r="M2" s="22"/>
      <c r="N2" s="22"/>
      <c r="O2" s="22"/>
      <c r="P2" s="22"/>
      <c r="Q2" s="22"/>
      <c r="R2" s="22"/>
      <c r="S2" s="22"/>
      <c r="T2" s="22"/>
      <c r="U2" s="22"/>
      <c r="V2" s="22"/>
      <c r="W2" s="22"/>
      <c r="X2" s="22"/>
      <c r="Y2" s="22"/>
      <c r="Z2" s="22"/>
    </row>
    <row r="3">
      <c r="A3" s="23" t="s">
        <v>257</v>
      </c>
      <c r="B3" s="23" t="s">
        <v>167</v>
      </c>
      <c r="C3" s="22"/>
      <c r="D3" s="22"/>
      <c r="E3" s="22"/>
      <c r="F3" s="22"/>
      <c r="G3" s="22"/>
      <c r="H3" s="22"/>
      <c r="I3" s="22"/>
      <c r="J3" s="22"/>
      <c r="K3" s="22"/>
      <c r="L3" s="22"/>
      <c r="M3" s="22"/>
      <c r="N3" s="22"/>
      <c r="O3" s="22"/>
      <c r="P3" s="22"/>
      <c r="Q3" s="22"/>
      <c r="R3" s="22"/>
      <c r="S3" s="22"/>
      <c r="T3" s="22"/>
      <c r="U3" s="22"/>
      <c r="V3" s="22"/>
      <c r="W3" s="22"/>
      <c r="X3" s="22"/>
      <c r="Y3" s="22"/>
      <c r="Z3" s="22"/>
    </row>
    <row r="4">
      <c r="A4" s="23" t="s">
        <v>257</v>
      </c>
      <c r="B4" s="23" t="s">
        <v>56</v>
      </c>
      <c r="C4" s="22"/>
      <c r="D4" s="22"/>
      <c r="E4" s="22"/>
      <c r="F4" s="22"/>
      <c r="G4" s="22"/>
      <c r="H4" s="22"/>
      <c r="I4" s="22"/>
      <c r="J4" s="22"/>
      <c r="K4" s="22"/>
      <c r="L4" s="22"/>
      <c r="M4" s="22"/>
      <c r="N4" s="22"/>
      <c r="O4" s="22"/>
      <c r="P4" s="22"/>
      <c r="Q4" s="22"/>
      <c r="R4" s="22"/>
      <c r="S4" s="22"/>
      <c r="T4" s="22"/>
      <c r="U4" s="22"/>
      <c r="V4" s="22"/>
      <c r="W4" s="22"/>
      <c r="X4" s="22"/>
      <c r="Y4" s="22"/>
      <c r="Z4" s="22"/>
    </row>
    <row r="5">
      <c r="A5" s="23" t="s">
        <v>257</v>
      </c>
      <c r="B5" s="23" t="s">
        <v>88</v>
      </c>
      <c r="C5" s="22"/>
      <c r="D5" s="22"/>
      <c r="E5" s="22"/>
      <c r="F5" s="22"/>
      <c r="G5" s="22"/>
      <c r="H5" s="22"/>
      <c r="I5" s="22"/>
      <c r="J5" s="22"/>
      <c r="K5" s="22"/>
      <c r="L5" s="22"/>
      <c r="M5" s="22"/>
      <c r="N5" s="22"/>
      <c r="O5" s="22"/>
      <c r="P5" s="22"/>
      <c r="Q5" s="22"/>
      <c r="R5" s="22"/>
      <c r="S5" s="22"/>
      <c r="T5" s="22"/>
      <c r="U5" s="22"/>
      <c r="V5" s="22"/>
      <c r="W5" s="22"/>
      <c r="X5" s="22"/>
      <c r="Y5" s="22"/>
      <c r="Z5" s="22"/>
    </row>
    <row r="6">
      <c r="A6" s="23" t="s">
        <v>258</v>
      </c>
      <c r="B6" s="23" t="s">
        <v>259</v>
      </c>
      <c r="C6" s="22"/>
      <c r="D6" s="22"/>
      <c r="E6" s="22"/>
      <c r="F6" s="22"/>
      <c r="G6" s="22"/>
      <c r="H6" s="22"/>
      <c r="I6" s="22"/>
      <c r="J6" s="22"/>
      <c r="K6" s="22"/>
      <c r="L6" s="22"/>
      <c r="M6" s="22"/>
      <c r="N6" s="22"/>
      <c r="O6" s="22"/>
      <c r="P6" s="22"/>
      <c r="Q6" s="22"/>
      <c r="R6" s="22"/>
      <c r="S6" s="22"/>
      <c r="T6" s="22"/>
      <c r="U6" s="22"/>
      <c r="V6" s="22"/>
      <c r="W6" s="22"/>
      <c r="X6" s="22"/>
      <c r="Y6" s="22"/>
      <c r="Z6" s="22"/>
    </row>
    <row r="7">
      <c r="A7" s="23" t="s">
        <v>258</v>
      </c>
      <c r="B7" s="23" t="s">
        <v>260</v>
      </c>
      <c r="C7" s="22"/>
      <c r="D7" s="22"/>
      <c r="E7" s="22"/>
      <c r="F7" s="22"/>
      <c r="G7" s="22"/>
      <c r="H7" s="22"/>
      <c r="I7" s="22"/>
      <c r="J7" s="22"/>
      <c r="K7" s="22"/>
      <c r="L7" s="22"/>
      <c r="M7" s="22"/>
      <c r="N7" s="22"/>
      <c r="O7" s="22"/>
      <c r="P7" s="22"/>
      <c r="Q7" s="22"/>
      <c r="R7" s="22"/>
      <c r="S7" s="22"/>
      <c r="T7" s="22"/>
      <c r="U7" s="22"/>
      <c r="V7" s="22"/>
      <c r="W7" s="22"/>
      <c r="X7" s="22"/>
      <c r="Y7" s="22"/>
      <c r="Z7" s="22"/>
    </row>
    <row r="8">
      <c r="A8" s="23" t="s">
        <v>258</v>
      </c>
      <c r="B8" s="23" t="s">
        <v>261</v>
      </c>
      <c r="C8" s="22"/>
      <c r="D8" s="22"/>
      <c r="E8" s="22"/>
      <c r="F8" s="22"/>
      <c r="G8" s="22"/>
      <c r="H8" s="22"/>
      <c r="I8" s="22"/>
      <c r="J8" s="22"/>
      <c r="K8" s="22"/>
      <c r="L8" s="22"/>
      <c r="M8" s="22"/>
      <c r="N8" s="22"/>
      <c r="O8" s="22"/>
      <c r="P8" s="22"/>
      <c r="Q8" s="22"/>
      <c r="R8" s="22"/>
      <c r="S8" s="22"/>
      <c r="T8" s="22"/>
      <c r="U8" s="22"/>
      <c r="V8" s="22"/>
      <c r="W8" s="22"/>
      <c r="X8" s="22"/>
      <c r="Y8" s="22"/>
      <c r="Z8" s="22"/>
    </row>
    <row r="9">
      <c r="A9" s="23" t="s">
        <v>258</v>
      </c>
      <c r="B9" s="23" t="s">
        <v>262</v>
      </c>
      <c r="C9" s="22"/>
      <c r="D9" s="22"/>
      <c r="E9" s="22"/>
      <c r="F9" s="22"/>
      <c r="G9" s="22"/>
      <c r="H9" s="22"/>
      <c r="I9" s="22"/>
      <c r="J9" s="22"/>
      <c r="K9" s="22"/>
      <c r="L9" s="22"/>
      <c r="M9" s="22"/>
      <c r="N9" s="22"/>
      <c r="O9" s="22"/>
      <c r="P9" s="22"/>
      <c r="Q9" s="22"/>
      <c r="R9" s="22"/>
      <c r="S9" s="22"/>
      <c r="T9" s="22"/>
      <c r="U9" s="22"/>
      <c r="V9" s="22"/>
      <c r="W9" s="22"/>
      <c r="X9" s="22"/>
      <c r="Y9" s="22"/>
      <c r="Z9" s="22"/>
    </row>
    <row r="10">
      <c r="A10" s="23" t="s">
        <v>258</v>
      </c>
      <c r="B10" s="23" t="s">
        <v>263</v>
      </c>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3" t="s">
        <v>258</v>
      </c>
      <c r="B11" s="23" t="s">
        <v>264</v>
      </c>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3" t="s">
        <v>258</v>
      </c>
      <c r="B12" s="23" t="s">
        <v>265</v>
      </c>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3" t="s">
        <v>258</v>
      </c>
      <c r="B13" s="23" t="s">
        <v>266</v>
      </c>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3" t="s">
        <v>258</v>
      </c>
      <c r="B14" s="23" t="s">
        <v>267</v>
      </c>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3" t="s">
        <v>258</v>
      </c>
      <c r="B15" s="23" t="s">
        <v>268</v>
      </c>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3" t="s">
        <v>258</v>
      </c>
      <c r="B16" s="23" t="s">
        <v>269</v>
      </c>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3" t="s">
        <v>258</v>
      </c>
      <c r="B17" s="23" t="s">
        <v>270</v>
      </c>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3" t="s">
        <v>258</v>
      </c>
      <c r="B18" s="23" t="s">
        <v>271</v>
      </c>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3" t="s">
        <v>258</v>
      </c>
      <c r="B19" s="23" t="s">
        <v>272</v>
      </c>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3" t="s">
        <v>258</v>
      </c>
      <c r="B20" s="23" t="s">
        <v>273</v>
      </c>
      <c r="C20" s="22"/>
      <c r="D20" s="22"/>
      <c r="E20" s="22"/>
      <c r="F20" s="22"/>
      <c r="G20" s="22"/>
      <c r="H20" s="22"/>
      <c r="I20" s="22"/>
      <c r="J20" s="22"/>
      <c r="K20" s="22"/>
      <c r="L20" s="22"/>
      <c r="M20" s="22"/>
      <c r="N20" s="22"/>
      <c r="O20" s="22"/>
      <c r="P20" s="22"/>
      <c r="Q20" s="22"/>
      <c r="R20" s="22"/>
      <c r="S20" s="22"/>
      <c r="T20" s="22"/>
      <c r="U20" s="22"/>
      <c r="V20" s="22"/>
      <c r="W20" s="22"/>
      <c r="X20" s="22"/>
      <c r="Y20" s="22"/>
      <c r="Z20" s="22"/>
    </row>
    <row r="21" ht="15.75" customHeight="1">
      <c r="A21" s="23" t="s">
        <v>258</v>
      </c>
      <c r="B21" s="23" t="s">
        <v>274</v>
      </c>
      <c r="C21" s="22"/>
      <c r="D21" s="22"/>
      <c r="E21" s="22"/>
      <c r="F21" s="22"/>
      <c r="G21" s="22"/>
      <c r="H21" s="22"/>
      <c r="I21" s="22"/>
      <c r="J21" s="22"/>
      <c r="K21" s="22"/>
      <c r="L21" s="22"/>
      <c r="M21" s="22"/>
      <c r="N21" s="22"/>
      <c r="O21" s="22"/>
      <c r="P21" s="22"/>
      <c r="Q21" s="22"/>
      <c r="R21" s="22"/>
      <c r="S21" s="22"/>
      <c r="T21" s="22"/>
      <c r="U21" s="22"/>
      <c r="V21" s="22"/>
      <c r="W21" s="22"/>
      <c r="X21" s="22"/>
      <c r="Y21" s="22"/>
      <c r="Z21" s="22"/>
    </row>
    <row r="22" ht="15.75" customHeight="1">
      <c r="A22" s="23" t="s">
        <v>258</v>
      </c>
      <c r="B22" s="23" t="s">
        <v>275</v>
      </c>
      <c r="C22" s="22"/>
      <c r="D22" s="22"/>
      <c r="E22" s="22"/>
      <c r="F22" s="22"/>
      <c r="G22" s="22"/>
      <c r="H22" s="22"/>
      <c r="I22" s="22"/>
      <c r="J22" s="22"/>
      <c r="K22" s="22"/>
      <c r="L22" s="22"/>
      <c r="M22" s="22"/>
      <c r="N22" s="22"/>
      <c r="O22" s="22"/>
      <c r="P22" s="22"/>
      <c r="Q22" s="22"/>
      <c r="R22" s="22"/>
      <c r="S22" s="22"/>
      <c r="T22" s="22"/>
      <c r="U22" s="22"/>
      <c r="V22" s="22"/>
      <c r="W22" s="22"/>
      <c r="X22" s="22"/>
      <c r="Y22" s="22"/>
      <c r="Z22" s="22"/>
    </row>
    <row r="23" ht="15.75" customHeight="1">
      <c r="A23" s="23" t="s">
        <v>258</v>
      </c>
      <c r="B23" s="23" t="s">
        <v>276</v>
      </c>
      <c r="C23" s="22"/>
      <c r="D23" s="22"/>
      <c r="E23" s="22"/>
      <c r="F23" s="22"/>
      <c r="G23" s="22"/>
      <c r="H23" s="22"/>
      <c r="I23" s="22"/>
      <c r="J23" s="22"/>
      <c r="K23" s="22"/>
      <c r="L23" s="22"/>
      <c r="M23" s="22"/>
      <c r="N23" s="22"/>
      <c r="O23" s="22"/>
      <c r="P23" s="22"/>
      <c r="Q23" s="22"/>
      <c r="R23" s="22"/>
      <c r="S23" s="22"/>
      <c r="T23" s="22"/>
      <c r="U23" s="22"/>
      <c r="V23" s="22"/>
      <c r="W23" s="22"/>
      <c r="X23" s="22"/>
      <c r="Y23" s="22"/>
      <c r="Z23" s="22"/>
    </row>
    <row r="24" ht="15.75" customHeight="1">
      <c r="A24" s="23" t="s">
        <v>258</v>
      </c>
      <c r="B24" s="23" t="s">
        <v>277</v>
      </c>
      <c r="C24" s="22"/>
      <c r="D24" s="22"/>
      <c r="E24" s="22"/>
      <c r="F24" s="22"/>
      <c r="G24" s="22"/>
      <c r="H24" s="22"/>
      <c r="I24" s="22"/>
      <c r="J24" s="22"/>
      <c r="K24" s="22"/>
      <c r="L24" s="22"/>
      <c r="M24" s="22"/>
      <c r="N24" s="22"/>
      <c r="O24" s="22"/>
      <c r="P24" s="22"/>
      <c r="Q24" s="22"/>
      <c r="R24" s="22"/>
      <c r="S24" s="22"/>
      <c r="T24" s="22"/>
      <c r="U24" s="22"/>
      <c r="V24" s="22"/>
      <c r="W24" s="22"/>
      <c r="X24" s="22"/>
      <c r="Y24" s="22"/>
      <c r="Z24" s="22"/>
    </row>
    <row r="25" ht="15.75" customHeight="1">
      <c r="A25" s="23" t="s">
        <v>278</v>
      </c>
      <c r="B25" s="23" t="s">
        <v>89</v>
      </c>
      <c r="C25" s="22"/>
      <c r="D25" s="22"/>
      <c r="E25" s="22"/>
      <c r="F25" s="22"/>
      <c r="G25" s="22"/>
      <c r="H25" s="22"/>
      <c r="I25" s="22"/>
      <c r="J25" s="22"/>
      <c r="K25" s="22"/>
      <c r="L25" s="22"/>
      <c r="M25" s="22"/>
      <c r="N25" s="22"/>
      <c r="O25" s="22"/>
      <c r="P25" s="22"/>
      <c r="Q25" s="22"/>
      <c r="R25" s="22"/>
      <c r="S25" s="22"/>
      <c r="T25" s="22"/>
      <c r="U25" s="22"/>
      <c r="V25" s="22"/>
      <c r="W25" s="22"/>
      <c r="X25" s="22"/>
      <c r="Y25" s="22"/>
      <c r="Z25" s="22"/>
    </row>
    <row r="26" ht="15.75" customHeight="1">
      <c r="A26" s="23" t="s">
        <v>278</v>
      </c>
      <c r="B26" s="23" t="s">
        <v>115</v>
      </c>
      <c r="C26" s="22"/>
      <c r="D26" s="22"/>
      <c r="E26" s="22"/>
      <c r="F26" s="22"/>
      <c r="G26" s="22"/>
      <c r="H26" s="22"/>
      <c r="I26" s="22"/>
      <c r="J26" s="22"/>
      <c r="K26" s="22"/>
      <c r="L26" s="22"/>
      <c r="M26" s="22"/>
      <c r="N26" s="22"/>
      <c r="O26" s="22"/>
      <c r="P26" s="22"/>
      <c r="Q26" s="22"/>
      <c r="R26" s="22"/>
      <c r="S26" s="22"/>
      <c r="T26" s="22"/>
      <c r="U26" s="22"/>
      <c r="V26" s="22"/>
      <c r="W26" s="22"/>
      <c r="X26" s="22"/>
      <c r="Y26" s="22"/>
      <c r="Z26" s="22"/>
    </row>
    <row r="27" ht="15.75" customHeight="1">
      <c r="A27" s="23" t="s">
        <v>278</v>
      </c>
      <c r="B27" s="23" t="s">
        <v>279</v>
      </c>
      <c r="C27" s="22"/>
      <c r="D27" s="22"/>
      <c r="E27" s="22"/>
      <c r="F27" s="22"/>
      <c r="G27" s="22"/>
      <c r="H27" s="22"/>
      <c r="I27" s="22"/>
      <c r="J27" s="22"/>
      <c r="K27" s="22"/>
      <c r="L27" s="22"/>
      <c r="M27" s="22"/>
      <c r="N27" s="22"/>
      <c r="O27" s="22"/>
      <c r="P27" s="22"/>
      <c r="Q27" s="22"/>
      <c r="R27" s="22"/>
      <c r="S27" s="22"/>
      <c r="T27" s="22"/>
      <c r="U27" s="22"/>
      <c r="V27" s="22"/>
      <c r="W27" s="22"/>
      <c r="X27" s="22"/>
      <c r="Y27" s="22"/>
      <c r="Z27" s="22"/>
    </row>
    <row r="28" ht="15.75" customHeight="1">
      <c r="A28" s="23" t="s">
        <v>278</v>
      </c>
      <c r="B28" s="23" t="s">
        <v>57</v>
      </c>
      <c r="C28" s="22"/>
      <c r="D28" s="22"/>
      <c r="E28" s="22"/>
      <c r="F28" s="22"/>
      <c r="G28" s="22"/>
      <c r="H28" s="22"/>
      <c r="I28" s="22"/>
      <c r="J28" s="22"/>
      <c r="K28" s="22"/>
      <c r="L28" s="22"/>
      <c r="M28" s="22"/>
      <c r="N28" s="22"/>
      <c r="O28" s="22"/>
      <c r="P28" s="22"/>
      <c r="Q28" s="22"/>
      <c r="R28" s="22"/>
      <c r="S28" s="22"/>
      <c r="T28" s="22"/>
      <c r="U28" s="22"/>
      <c r="V28" s="22"/>
      <c r="W28" s="22"/>
      <c r="X28" s="22"/>
      <c r="Y28" s="22"/>
      <c r="Z28" s="22"/>
    </row>
    <row r="29" ht="15.75" customHeight="1">
      <c r="A29" s="23" t="s">
        <v>278</v>
      </c>
      <c r="B29" s="23" t="s">
        <v>280</v>
      </c>
      <c r="C29" s="22"/>
      <c r="D29" s="22"/>
      <c r="E29" s="22"/>
      <c r="F29" s="22"/>
      <c r="G29" s="22"/>
      <c r="H29" s="22"/>
      <c r="I29" s="22"/>
      <c r="J29" s="22"/>
      <c r="K29" s="22"/>
      <c r="L29" s="22"/>
      <c r="M29" s="22"/>
      <c r="N29" s="22"/>
      <c r="O29" s="22"/>
      <c r="P29" s="22"/>
      <c r="Q29" s="22"/>
      <c r="R29" s="22"/>
      <c r="S29" s="22"/>
      <c r="T29" s="22"/>
      <c r="U29" s="22"/>
      <c r="V29" s="22"/>
      <c r="W29" s="22"/>
      <c r="X29" s="22"/>
      <c r="Y29" s="22"/>
      <c r="Z29" s="22"/>
    </row>
    <row r="30" ht="15.75" customHeight="1">
      <c r="A30" s="23" t="s">
        <v>278</v>
      </c>
      <c r="B30" s="23" t="s">
        <v>281</v>
      </c>
      <c r="C30" s="22"/>
      <c r="D30" s="22"/>
      <c r="E30" s="22"/>
      <c r="F30" s="22"/>
      <c r="G30" s="22"/>
      <c r="H30" s="22"/>
      <c r="I30" s="22"/>
      <c r="J30" s="22"/>
      <c r="K30" s="22"/>
      <c r="L30" s="22"/>
      <c r="M30" s="22"/>
      <c r="N30" s="22"/>
      <c r="O30" s="22"/>
      <c r="P30" s="22"/>
      <c r="Q30" s="22"/>
      <c r="R30" s="22"/>
      <c r="S30" s="22"/>
      <c r="T30" s="22"/>
      <c r="U30" s="22"/>
      <c r="V30" s="22"/>
      <c r="W30" s="22"/>
      <c r="X30" s="22"/>
      <c r="Y30" s="22"/>
      <c r="Z30" s="22"/>
    </row>
    <row r="31" ht="15.75" customHeight="1">
      <c r="A31" s="23" t="s">
        <v>278</v>
      </c>
      <c r="B31" s="23" t="s">
        <v>282</v>
      </c>
      <c r="C31" s="22"/>
      <c r="D31" s="22"/>
      <c r="E31" s="22"/>
      <c r="F31" s="22"/>
      <c r="G31" s="22"/>
      <c r="H31" s="22"/>
      <c r="I31" s="22"/>
      <c r="J31" s="22"/>
      <c r="K31" s="22"/>
      <c r="L31" s="22"/>
      <c r="M31" s="22"/>
      <c r="N31" s="22"/>
      <c r="O31" s="22"/>
      <c r="P31" s="22"/>
      <c r="Q31" s="22"/>
      <c r="R31" s="22"/>
      <c r="S31" s="22"/>
      <c r="T31" s="22"/>
      <c r="U31" s="22"/>
      <c r="V31" s="22"/>
      <c r="W31" s="22"/>
      <c r="X31" s="22"/>
      <c r="Y31" s="22"/>
      <c r="Z31" s="22"/>
    </row>
    <row r="32" ht="15.75" customHeight="1">
      <c r="A32" s="23" t="s">
        <v>283</v>
      </c>
      <c r="B32" s="23" t="s">
        <v>143</v>
      </c>
      <c r="C32" s="22"/>
      <c r="D32" s="22"/>
      <c r="E32" s="22"/>
      <c r="F32" s="22"/>
      <c r="G32" s="22"/>
      <c r="H32" s="22"/>
      <c r="I32" s="22"/>
      <c r="J32" s="22"/>
      <c r="K32" s="22"/>
      <c r="L32" s="22"/>
      <c r="M32" s="22"/>
      <c r="N32" s="22"/>
      <c r="O32" s="22"/>
      <c r="P32" s="22"/>
      <c r="Q32" s="22"/>
      <c r="R32" s="22"/>
      <c r="S32" s="22"/>
      <c r="T32" s="22"/>
      <c r="U32" s="22"/>
      <c r="V32" s="22"/>
      <c r="W32" s="22"/>
      <c r="X32" s="22"/>
      <c r="Y32" s="22"/>
      <c r="Z32" s="22"/>
    </row>
    <row r="33" ht="15.75" customHeight="1">
      <c r="A33" s="23" t="s">
        <v>283</v>
      </c>
      <c r="B33" s="23" t="s">
        <v>66</v>
      </c>
      <c r="C33" s="22"/>
      <c r="D33" s="22"/>
      <c r="E33" s="22"/>
      <c r="F33" s="22"/>
      <c r="G33" s="22"/>
      <c r="H33" s="22"/>
      <c r="I33" s="22"/>
      <c r="J33" s="22"/>
      <c r="K33" s="22"/>
      <c r="L33" s="22"/>
      <c r="M33" s="22"/>
      <c r="N33" s="22"/>
      <c r="O33" s="22"/>
      <c r="P33" s="22"/>
      <c r="Q33" s="22"/>
      <c r="R33" s="22"/>
      <c r="S33" s="22"/>
      <c r="T33" s="22"/>
      <c r="U33" s="22"/>
      <c r="V33" s="22"/>
      <c r="W33" s="22"/>
      <c r="X33" s="22"/>
      <c r="Y33" s="22"/>
      <c r="Z33" s="22"/>
    </row>
    <row r="34" ht="15.75" customHeight="1">
      <c r="A34" s="23" t="s">
        <v>283</v>
      </c>
      <c r="B34" s="23" t="s">
        <v>284</v>
      </c>
      <c r="C34" s="22"/>
      <c r="D34" s="22"/>
      <c r="E34" s="22"/>
      <c r="F34" s="22"/>
      <c r="G34" s="22"/>
      <c r="H34" s="22"/>
      <c r="I34" s="22"/>
      <c r="J34" s="22"/>
      <c r="K34" s="22"/>
      <c r="L34" s="22"/>
      <c r="M34" s="22"/>
      <c r="N34" s="22"/>
      <c r="O34" s="22"/>
      <c r="P34" s="22"/>
      <c r="Q34" s="22"/>
      <c r="R34" s="22"/>
      <c r="S34" s="22"/>
      <c r="T34" s="22"/>
      <c r="U34" s="22"/>
      <c r="V34" s="22"/>
      <c r="W34" s="22"/>
      <c r="X34" s="22"/>
      <c r="Y34" s="22"/>
      <c r="Z34" s="22"/>
    </row>
    <row r="35" ht="15.75" customHeight="1">
      <c r="A35" s="23" t="s">
        <v>283</v>
      </c>
      <c r="B35" s="23" t="s">
        <v>122</v>
      </c>
      <c r="C35" s="22"/>
      <c r="D35" s="22"/>
      <c r="E35" s="22"/>
      <c r="F35" s="22"/>
      <c r="G35" s="22"/>
      <c r="H35" s="22"/>
      <c r="I35" s="22"/>
      <c r="J35" s="22"/>
      <c r="K35" s="22"/>
      <c r="L35" s="22"/>
      <c r="M35" s="22"/>
      <c r="N35" s="22"/>
      <c r="O35" s="22"/>
      <c r="P35" s="22"/>
      <c r="Q35" s="22"/>
      <c r="R35" s="22"/>
      <c r="S35" s="22"/>
      <c r="T35" s="22"/>
      <c r="U35" s="22"/>
      <c r="V35" s="22"/>
      <c r="W35" s="22"/>
      <c r="X35" s="22"/>
      <c r="Y35" s="22"/>
      <c r="Z35" s="22"/>
    </row>
    <row r="36" ht="15.75" customHeight="1">
      <c r="A36" s="23" t="s">
        <v>283</v>
      </c>
      <c r="B36" s="23" t="s">
        <v>96</v>
      </c>
      <c r="C36" s="22"/>
      <c r="D36" s="22"/>
      <c r="E36" s="22"/>
      <c r="F36" s="22"/>
      <c r="G36" s="22"/>
      <c r="H36" s="22"/>
      <c r="I36" s="22"/>
      <c r="J36" s="22"/>
      <c r="K36" s="22"/>
      <c r="L36" s="22"/>
      <c r="M36" s="22"/>
      <c r="N36" s="22"/>
      <c r="O36" s="22"/>
      <c r="P36" s="22"/>
      <c r="Q36" s="22"/>
      <c r="R36" s="22"/>
      <c r="S36" s="22"/>
      <c r="T36" s="22"/>
      <c r="U36" s="22"/>
      <c r="V36" s="22"/>
      <c r="W36" s="22"/>
      <c r="X36" s="22"/>
      <c r="Y36" s="22"/>
      <c r="Z36" s="22"/>
    </row>
    <row r="37" ht="15.75" customHeight="1">
      <c r="A37" s="23" t="s">
        <v>283</v>
      </c>
      <c r="B37" s="23" t="s">
        <v>285</v>
      </c>
      <c r="C37" s="22"/>
      <c r="D37" s="22"/>
      <c r="E37" s="22"/>
      <c r="F37" s="22"/>
      <c r="G37" s="22"/>
      <c r="H37" s="22"/>
      <c r="I37" s="22"/>
      <c r="J37" s="22"/>
      <c r="K37" s="22"/>
      <c r="L37" s="22"/>
      <c r="M37" s="22"/>
      <c r="N37" s="22"/>
      <c r="O37" s="22"/>
      <c r="P37" s="22"/>
      <c r="Q37" s="22"/>
      <c r="R37" s="22"/>
      <c r="S37" s="22"/>
      <c r="T37" s="22"/>
      <c r="U37" s="22"/>
      <c r="V37" s="22"/>
      <c r="W37" s="22"/>
      <c r="X37" s="22"/>
      <c r="Y37" s="22"/>
      <c r="Z37" s="22"/>
    </row>
    <row r="38" ht="15.7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ht="15.7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ht="15.7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ht="15.7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ht="15.7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ht="15.7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ht="15.7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ht="15.7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ht="15.7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ht="15.7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ht="15.7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ht="15.7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ht="15.7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ht="15.75" customHeight="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ht="15.75" customHeight="1">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ht="15.75" customHeight="1">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ht="15.75" customHeight="1">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ht="15.75" customHeight="1">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ht="15.75" customHeight="1">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ht="15.75" customHeight="1">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ht="15.75" customHeight="1">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ht="15.75" customHeight="1">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ht="15.75" customHeight="1">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ht="15.75" customHeight="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ht="15.75" customHeight="1">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ht="15.75" customHeight="1">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ht="15.75" customHeight="1">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ht="15.75" customHeight="1">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ht="15.75" customHeight="1">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ht="15.75" customHeight="1">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ht="15.75" customHeight="1">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ht="15.75" customHeight="1">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ht="15.75" customHeight="1">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ht="15.75" customHeight="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ht="15.75" customHeight="1">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ht="15.75" customHeight="1">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ht="15.75" customHeight="1">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ht="15.75" customHeight="1">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ht="15.75" customHeight="1">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ht="15.75" customHeight="1">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ht="15.75" customHeight="1">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ht="15.75" customHeight="1">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ht="15.75" customHeight="1">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ht="15.75" customHeight="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ht="15.75" customHeight="1">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ht="15.75" customHeight="1">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ht="15.75" customHeight="1">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ht="15.75" customHeight="1">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ht="15.75" customHeight="1">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ht="15.75" customHeight="1">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ht="15.75" customHeight="1">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ht="15.75" customHeight="1">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ht="15.75" customHeight="1">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ht="15.75" customHeight="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ht="15.75" customHeight="1">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ht="15.75" customHeight="1">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ht="15.75" customHeight="1">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ht="15.75" customHeight="1">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ht="15.75" customHeight="1">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ht="15.75" customHeight="1">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ht="15.75" customHeight="1">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ht="15.75" customHeight="1">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ht="15.75" customHeight="1">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ht="15.75" customHeight="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ht="15.75" customHeight="1">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ht="15.75" customHeight="1">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ht="15.75" customHeight="1">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ht="15.75" customHeight="1">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ht="15.75" customHeight="1">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ht="15.75" customHeight="1">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ht="15.75" customHeight="1">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ht="15.75" customHeight="1">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ht="15.75" customHeight="1">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ht="15.75" customHeight="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ht="15.75" customHeight="1">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ht="15.75" customHeight="1">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ht="15.75" customHeight="1">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ht="15.75" customHeight="1">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ht="15.75" customHeight="1">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ht="15.75" customHeight="1">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ht="15.75" customHeight="1">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ht="15.75" customHeight="1">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ht="15.75" customHeight="1">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ht="15.75" customHeight="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ht="15.75" customHeight="1">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ht="15.75" customHeight="1">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ht="15.75" customHeight="1">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ht="15.75" customHeight="1">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ht="15.75" customHeight="1">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ht="15.75" customHeight="1">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ht="15.75" customHeight="1">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ht="15.75" customHeight="1">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ht="15.75" customHeight="1">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ht="15.75" customHeight="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ht="15.75" customHeight="1">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ht="15.75" customHeight="1">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ht="15.75" customHeight="1">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ht="15.75" customHeight="1">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ht="15.75" customHeight="1">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ht="15.75" customHeight="1">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ht="15.75" customHeight="1">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ht="15.75" customHeight="1">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ht="15.75" customHeight="1">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ht="15.75" customHeight="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ht="15.75" customHeight="1">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ht="15.75" customHeight="1">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ht="15.75" customHeight="1">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ht="15.75" customHeight="1">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ht="15.75" customHeight="1">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ht="15.75" customHeight="1">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ht="15.75" customHeight="1">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ht="15.75" customHeight="1">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ht="15.75" customHeight="1">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ht="15.75" customHeight="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ht="15.75" customHeight="1">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ht="15.75" customHeight="1">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ht="15.75" customHeight="1">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ht="15.75" customHeight="1">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ht="15.75" customHeight="1">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ht="15.75" customHeight="1">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ht="15.75" customHeight="1">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ht="15.75" customHeight="1">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ht="15.75" customHeight="1">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ht="15.75" customHeight="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ht="15.75" customHeight="1">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ht="15.75" customHeight="1">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ht="15.75" customHeight="1">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ht="15.75" customHeight="1">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ht="15.75" customHeight="1">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ht="15.75" customHeight="1">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ht="15.75" customHeight="1">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ht="15.75" customHeight="1">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ht="15.75" customHeight="1">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ht="15.75" customHeight="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ht="15.75" customHeight="1">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ht="15.75" customHeight="1">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ht="15.75" customHeight="1">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ht="15.75" customHeight="1">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ht="15.75" customHeight="1">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ht="15.75" customHeight="1">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ht="15.75" customHeight="1">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ht="15.75" customHeight="1">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ht="15.75" customHeight="1">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ht="15.75" customHeight="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ht="15.75" customHeight="1">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ht="15.75" customHeight="1">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ht="15.75" customHeight="1">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ht="15.75" customHeight="1">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ht="15.75" customHeight="1">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ht="15.75" customHeight="1">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ht="15.75" customHeight="1">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ht="15.75" customHeight="1">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ht="15.75" customHeight="1">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ht="15.75" customHeight="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ht="15.75" customHeight="1">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ht="15.75" customHeight="1">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ht="15.75" customHeight="1">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ht="15.75" customHeight="1">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ht="15.75" customHeight="1">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ht="15.75" customHeight="1">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ht="15.75" customHeight="1">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ht="15.75" customHeight="1">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ht="15.75" customHeight="1">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ht="15.75" customHeight="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ht="15.75" customHeight="1">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ht="15.75" customHeight="1">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ht="15.75" customHeight="1">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ht="15.75" customHeight="1">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ht="15.75" customHeight="1">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ht="15.75" customHeight="1">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ht="15.75" customHeight="1">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ht="15.75" customHeight="1">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ht="15.75" customHeight="1">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ht="15.75" customHeight="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ht="15.75" customHeight="1">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ht="15.75" customHeight="1">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ht="15.75" customHeight="1">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ht="15.75" customHeight="1">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ht="15.75" customHeight="1">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ht="15.75" customHeight="1">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ht="15.75" customHeight="1">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ht="15.75" customHeight="1">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ht="15.75" customHeight="1">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ht="15.75" customHeight="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ht="15.75" customHeight="1">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ht="15.75" customHeight="1">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ht="15.75" customHeight="1">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ht="15.75" customHeight="1">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ht="15.75" customHeight="1">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ht="15.75" customHeight="1">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ht="15.75" customHeight="1">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ht="15.75" customHeight="1">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ht="15.75" customHeight="1">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ht="15.75" customHeight="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ht="15.75" customHeight="1">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ht="15.75" customHeight="1">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ht="15.75" customHeight="1">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ht="15.75" customHeight="1">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ht="15.75" customHeight="1">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ht="15.75" customHeight="1">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ht="15.75" customHeight="1">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ht="15.75" customHeight="1">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ht="15.75" customHeight="1">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ht="15.75" customHeight="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ht="15.75" customHeight="1">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ht="15.75" customHeight="1">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13"/>
    <col customWidth="1" min="2" max="2" width="100.13"/>
    <col customWidth="1" min="3" max="26" width="8.63"/>
  </cols>
  <sheetData>
    <row r="1">
      <c r="A1" s="33" t="s">
        <v>286</v>
      </c>
      <c r="B1" s="33" t="s">
        <v>245</v>
      </c>
    </row>
    <row r="2">
      <c r="A2" s="23" t="s">
        <v>287</v>
      </c>
      <c r="B2" s="34" t="s">
        <v>288</v>
      </c>
    </row>
    <row r="3">
      <c r="A3" s="23" t="s">
        <v>289</v>
      </c>
      <c r="B3" s="34" t="s">
        <v>290</v>
      </c>
    </row>
    <row r="4">
      <c r="A4" s="23" t="s">
        <v>291</v>
      </c>
      <c r="B4" s="23" t="s">
        <v>292</v>
      </c>
    </row>
    <row r="5">
      <c r="A5" s="23" t="s">
        <v>293</v>
      </c>
      <c r="B5" s="23" t="s">
        <v>294</v>
      </c>
    </row>
    <row r="6">
      <c r="A6" s="23" t="s">
        <v>295</v>
      </c>
      <c r="B6" s="23" t="s">
        <v>296</v>
      </c>
    </row>
    <row r="7">
      <c r="A7" s="23" t="s">
        <v>246</v>
      </c>
      <c r="B7" s="23" t="s">
        <v>297</v>
      </c>
    </row>
    <row r="8">
      <c r="A8" s="23" t="s">
        <v>298</v>
      </c>
      <c r="B8" s="35">
        <v>46199.37383181713</v>
      </c>
    </row>
    <row r="9">
      <c r="A9" s="36"/>
      <c r="B9" s="36"/>
    </row>
    <row r="10">
      <c r="A10" s="36"/>
      <c r="B10" s="36"/>
    </row>
    <row r="11">
      <c r="A11" s="36"/>
      <c r="B11" s="36"/>
    </row>
    <row r="12">
      <c r="A12" s="36"/>
      <c r="B12" s="36"/>
    </row>
    <row r="13">
      <c r="A13" s="36"/>
      <c r="B13" s="3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s>
  <printOptions/>
  <pageMargins bottom="0.75" footer="0.0" header="0.0" left="0.7" right="0.7" top="0.75"/>
  <pageSetup orientation="landscape"/>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63"/>
    <col customWidth="1" min="2" max="26" width="8.63"/>
  </cols>
  <sheetData>
    <row r="1">
      <c r="A1" s="38" t="s">
        <v>299</v>
      </c>
    </row>
    <row r="2">
      <c r="A2" s="22"/>
    </row>
    <row r="3">
      <c r="A3" s="23" t="s">
        <v>300</v>
      </c>
    </row>
    <row r="4">
      <c r="A4" s="22"/>
    </row>
    <row r="5">
      <c r="A5" s="23" t="s">
        <v>301</v>
      </c>
    </row>
    <row r="6">
      <c r="A6" s="23" t="s">
        <v>302</v>
      </c>
    </row>
    <row r="7">
      <c r="A7" s="22"/>
    </row>
    <row r="8">
      <c r="A8" s="23" t="s">
        <v>303</v>
      </c>
    </row>
    <row r="9">
      <c r="A9" s="23" t="s">
        <v>304</v>
      </c>
    </row>
    <row r="10">
      <c r="A10" s="22"/>
    </row>
    <row r="11">
      <c r="A11" s="23" t="s">
        <v>305</v>
      </c>
    </row>
    <row r="12">
      <c r="A12" s="23" t="s">
        <v>306</v>
      </c>
    </row>
    <row r="13">
      <c r="A13" s="23" t="s">
        <v>307</v>
      </c>
    </row>
    <row r="14">
      <c r="A14" s="23" t="s">
        <v>308</v>
      </c>
    </row>
    <row r="15">
      <c r="A15" s="22"/>
    </row>
    <row r="16">
      <c r="A16" s="22"/>
    </row>
    <row r="17">
      <c r="A17" s="22"/>
    </row>
    <row r="18">
      <c r="A18" s="22"/>
    </row>
    <row r="19">
      <c r="A19" s="22"/>
    </row>
    <row r="20">
      <c r="A20" s="2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